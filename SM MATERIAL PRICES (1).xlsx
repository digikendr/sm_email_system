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STER" sheetId="1" state="visible" r:id="rId3"/>
    <sheet name="Sheet2" sheetId="2" state="visible" r:id="rId4"/>
    <sheet name="Sheet5" sheetId="3" state="visible" r:id="rId5"/>
    <sheet name="Sheet3" sheetId="4" state="visible" r:id="rId6"/>
    <sheet name="EDIT" sheetId="5" state="visible" r:id="rId7"/>
    <sheet name="Sheet1" sheetId="6" state="visible" r:id="rId8"/>
    <sheet name="Price List for SM2" sheetId="7" state="visible" r:id="rId9"/>
  </sheets>
  <definedNames>
    <definedName function="false" hidden="false" localSheetId="0" name="_xlnm.Print_Area" vbProcedure="false">MASTER!$A$1:$G$280</definedName>
    <definedName function="false" hidden="true" localSheetId="1" name="_xlnm._FilterDatabase" vbProcedure="false">Sheet2!$A$1:$E$1</definedName>
    <definedName function="false" hidden="true" localSheetId="3" name="_xlnm._FilterDatabase" vbProcedure="false">Sheet3!$A$1:$E$1</definedName>
  </definedName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ADMIN</author>
    <author>GANESH</author>
  </authors>
  <commentList>
    <comment ref="G2" authorId="0">
      <text>
        <r>
          <rPr>
            <sz val="10"/>
            <rFont val="Atkinson Hyperlegible Next"/>
            <family val="2"/>
          </rPr>
          <t xml:space="preserve">COMPOUND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10</xdr:colOff>
                <xdr:row>0</xdr:row>
                <xdr:rowOff>60</xdr:rowOff>
              </xdr:from>
              <xdr:to>
                <xdr:col>8</xdr:col>
                <xdr:colOff>60</xdr:colOff>
                <xdr:row>7</xdr:row>
                <xdr:rowOff>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tkinson Hyperlegible Next"/>
            <family val="2"/>
          </rPr>
          <t xml:space="preserve">COMPOUND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10</xdr:colOff>
                <xdr:row>64</xdr:row>
                <xdr:rowOff>2</xdr:rowOff>
              </xdr:from>
              <xdr:to>
                <xdr:col>8</xdr:col>
                <xdr:colOff>60</xdr:colOff>
                <xdr:row>70</xdr:row>
                <xdr:rowOff>18</xdr:rowOff>
              </xdr:to>
            </anchor>
          </commentPr>
        </mc:Choice>
        <mc:Fallback/>
      </mc:AlternateContent>
    </comment>
    <comment ref="H2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14.63X5%=15.36/-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0</xdr:row>
                <xdr:rowOff>60</xdr:rowOff>
              </xdr:from>
              <xdr:to>
                <xdr:col>9</xdr:col>
                <xdr:colOff>60</xdr:colOff>
                <xdr:row>4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20.95X5%=22/-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14</xdr:row>
                <xdr:rowOff>12</xdr:rowOff>
              </xdr:from>
              <xdr:to>
                <xdr:col>9</xdr:col>
                <xdr:colOff>60</xdr:colOff>
                <xdr:row>18</xdr:row>
                <xdr:rowOff>18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23.8X5%=25/-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28</xdr:row>
                <xdr:rowOff>12</xdr:rowOff>
              </xdr:from>
              <xdr:to>
                <xdr:col>9</xdr:col>
                <xdr:colOff>60</xdr:colOff>
                <xdr:row>32</xdr:row>
                <xdr:rowOff>18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34.04X5%=36.80/-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30</xdr:row>
                <xdr:rowOff>12</xdr:rowOff>
              </xdr:from>
              <xdr:to>
                <xdr:col>9</xdr:col>
                <xdr:colOff>60</xdr:colOff>
                <xdr:row>34</xdr:row>
                <xdr:rowOff>18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71.43X5%=75/-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33</xdr:row>
                <xdr:rowOff>12</xdr:rowOff>
              </xdr:from>
              <xdr:to>
                <xdr:col>9</xdr:col>
                <xdr:colOff>60</xdr:colOff>
                <xdr:row>37</xdr:row>
                <xdr:rowOff>18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119.04X5%=125/-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47</xdr:row>
                <xdr:rowOff>12</xdr:rowOff>
              </xdr:from>
              <xdr:to>
                <xdr:col>9</xdr:col>
                <xdr:colOff>60</xdr:colOff>
                <xdr:row>51</xdr:row>
                <xdr:rowOff>18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57.14X5%=60/-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10</xdr:colOff>
                <xdr:row>51</xdr:row>
                <xdr:rowOff>12</xdr:rowOff>
              </xdr:from>
              <xdr:to>
                <xdr:col>9</xdr:col>
                <xdr:colOff>60</xdr:colOff>
                <xdr:row>55</xdr:row>
                <xdr:rowOff>18</xdr:rowOff>
              </xdr:to>
            </anchor>
          </commentPr>
        </mc:Choice>
        <mc:Fallback/>
      </mc:AlternateContent>
    </comment>
    <comment ref="I245" authorId="1">
      <text>
        <r>
          <rPr>
            <sz val="10"/>
            <rFont val="Atkinson Hyperlegible Next"/>
            <family val="2"/>
          </rPr>
          <t xml:space="preserve">GANESH:
</t>
        </r>
        <r>
          <rPr>
            <sz val="9"/>
            <color rgb="FF000000"/>
            <rFont val="Tahoma"/>
            <family val="2"/>
            <charset val="1"/>
          </rPr>
          <t xml:space="preserve">SCENTED BAKHOOR PER KG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10</xdr:colOff>
                <xdr:row>295</xdr:row>
                <xdr:rowOff>2</xdr:rowOff>
              </xdr:from>
              <xdr:to>
                <xdr:col>11</xdr:col>
                <xdr:colOff>2</xdr:colOff>
                <xdr:row>298</xdr:row>
                <xdr:rowOff>19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16.66X5%=17.5/-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10</xdr:colOff>
                <xdr:row>0</xdr:row>
                <xdr:rowOff>60</xdr:rowOff>
              </xdr:from>
              <xdr:to>
                <xdr:col>13</xdr:col>
                <xdr:colOff>6</xdr:colOff>
                <xdr:row>4</xdr:row>
                <xdr:rowOff>18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BASIC 23.81 X 5% = 25/-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10</xdr:colOff>
                <xdr:row>14</xdr:row>
                <xdr:rowOff>12</xdr:rowOff>
              </xdr:from>
              <xdr:to>
                <xdr:col>13</xdr:col>
                <xdr:colOff>6</xdr:colOff>
                <xdr:row>18</xdr:row>
                <xdr:rowOff>18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35.71X5%=37.5/-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10</xdr:colOff>
                <xdr:row>28</xdr:row>
                <xdr:rowOff>12</xdr:rowOff>
              </xdr:from>
              <xdr:to>
                <xdr:col>13</xdr:col>
                <xdr:colOff>6</xdr:colOff>
                <xdr:row>32</xdr:row>
                <xdr:rowOff>18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95.24X5%=100/-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10</xdr:colOff>
                <xdr:row>33</xdr:row>
                <xdr:rowOff>12</xdr:rowOff>
              </xdr:from>
              <xdr:to>
                <xdr:col>13</xdr:col>
                <xdr:colOff>6</xdr:colOff>
                <xdr:row>37</xdr:row>
                <xdr:rowOff>18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142.86X5%=150/-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10</xdr:colOff>
                <xdr:row>47</xdr:row>
                <xdr:rowOff>12</xdr:rowOff>
              </xdr:from>
              <xdr:to>
                <xdr:col>13</xdr:col>
                <xdr:colOff>6</xdr:colOff>
                <xdr:row>51</xdr:row>
                <xdr:rowOff>18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tkinson Hyperlegible Next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59.52X5%=62.5/-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10</xdr:colOff>
                <xdr:row>51</xdr:row>
                <xdr:rowOff>12</xdr:rowOff>
              </xdr:from>
              <xdr:to>
                <xdr:col>13</xdr:col>
                <xdr:colOff>6</xdr:colOff>
                <xdr:row>55</xdr:row>
                <xdr:rowOff>18</xdr:rowOff>
              </xdr:to>
            </anchor>
          </commentPr>
        </mc:Choice>
        <mc:Fallback/>
      </mc:AlternateContent>
    </comment>
    <comment ref="L74" authorId="1">
      <text>
        <r>
          <rPr>
            <sz val="10"/>
            <rFont val="Atkinson Hyperlegible Next"/>
            <family val="2"/>
          </rPr>
          <t xml:space="preserve">GANESH:
</t>
        </r>
        <r>
          <rPr>
            <sz val="9"/>
            <color rgb="FF000000"/>
            <rFont val="Tahoma"/>
            <family val="2"/>
            <charset val="1"/>
          </rPr>
          <t xml:space="preserve">PER KG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23</xdr:colOff>
                <xdr:row>70</xdr:row>
                <xdr:rowOff>0</xdr:rowOff>
              </xdr:from>
              <xdr:to>
                <xdr:col>13</xdr:col>
                <xdr:colOff>44</xdr:colOff>
                <xdr:row>71</xdr:row>
                <xdr:rowOff>18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<sst xmlns="http://schemas.openxmlformats.org/spreadsheetml/2006/main" count="2660" uniqueCount="369">
  <si>
    <t xml:space="preserve">SR. NO</t>
  </si>
  <si>
    <t xml:space="preserve">PRODUCT NAME</t>
  </si>
  <si>
    <t xml:space="preserve">WT (GMS)</t>
  </si>
  <si>
    <t xml:space="preserve">CATEGORY</t>
  </si>
  <si>
    <t xml:space="preserve">DB CATEGORY</t>
  </si>
  <si>
    <t xml:space="preserve">QTY</t>
  </si>
  <si>
    <t xml:space="preserve">SFNF TO SIPL BASIC PRICE</t>
  </si>
  <si>
    <t xml:space="preserve">SIPL TO SAD BASIC PRICE</t>
  </si>
  <si>
    <t xml:space="preserve">SIPL TO AL-EITR BASIC PRICE</t>
  </si>
  <si>
    <t xml:space="preserve">AL-EITR TO SM BASIC PRICE</t>
  </si>
  <si>
    <t xml:space="preserve">SAD TO SM ACTUAL PRICE</t>
  </si>
  <si>
    <t xml:space="preserve">SIPL TO SM BASIC PRICE</t>
  </si>
  <si>
    <t xml:space="preserve">SM 2 SELLING PRICE</t>
  </si>
  <si>
    <t xml:space="preserve">MRP</t>
  </si>
  <si>
    <t xml:space="preserve">SM TO CLIENT</t>
  </si>
  <si>
    <t xml:space="preserve">SM2 PURCHASE TOTAL VALUE</t>
  </si>
  <si>
    <t xml:space="preserve">KASTURI  ONLINE ONLY</t>
  </si>
  <si>
    <t xml:space="preserve"> WHITE BATTI POUCHES</t>
  </si>
  <si>
    <t xml:space="preserve">WHITE BATTI POUCHES</t>
  </si>
  <si>
    <t xml:space="preserve">VIGHNAHARTA ONLINE ONLY</t>
  </si>
  <si>
    <t xml:space="preserve">NIRVANA ONLINE ONLY</t>
  </si>
  <si>
    <t xml:space="preserve">VISHWATMA ONLINE ONLY</t>
  </si>
  <si>
    <t xml:space="preserve">ICE WATER ONLINE ONLY</t>
  </si>
  <si>
    <t xml:space="preserve">GULAB JAL ONLINE ONLY</t>
  </si>
  <si>
    <t xml:space="preserve">JASMIN PHOOL ONLINE ONLY</t>
  </si>
  <si>
    <t xml:space="preserve">MUSK MELON ONLINE ONLY</t>
  </si>
  <si>
    <t xml:space="preserve">SANDALWOOD ONLINE ONLY</t>
  </si>
  <si>
    <t xml:space="preserve">KRISHNA ONLINE ONLY</t>
  </si>
  <si>
    <t xml:space="preserve">EKDANT ONLINE ONLY</t>
  </si>
  <si>
    <t xml:space="preserve">TRILOK ONLINE ONLY</t>
  </si>
  <si>
    <t xml:space="preserve">KEDARNATH ONLINE ONLY</t>
  </si>
  <si>
    <t xml:space="preserve">KRISHNA LEELA ONLINE ONLY</t>
  </si>
  <si>
    <t xml:space="preserve">KASTURI </t>
  </si>
  <si>
    <t xml:space="preserve">VIGHNAHARTA</t>
  </si>
  <si>
    <t xml:space="preserve">NIRVANA</t>
  </si>
  <si>
    <t xml:space="preserve">VISHWATMA</t>
  </si>
  <si>
    <t xml:space="preserve">ICE WATER</t>
  </si>
  <si>
    <t xml:space="preserve">GULAB JAL</t>
  </si>
  <si>
    <t xml:space="preserve">JASMIN PHOOL</t>
  </si>
  <si>
    <t xml:space="preserve">MUSK MELON</t>
  </si>
  <si>
    <t xml:space="preserve">SANDALWOOD</t>
  </si>
  <si>
    <t xml:space="preserve">KRISHNA</t>
  </si>
  <si>
    <t xml:space="preserve">EKDANT</t>
  </si>
  <si>
    <t xml:space="preserve">TRILOK</t>
  </si>
  <si>
    <t xml:space="preserve">KEDARNATH</t>
  </si>
  <si>
    <t xml:space="preserve">KRISHNA LEELA</t>
  </si>
  <si>
    <t xml:space="preserve">SHAHI FLORA </t>
  </si>
  <si>
    <t xml:space="preserve">MASALA BATTI POUCHES</t>
  </si>
  <si>
    <t xml:space="preserve">SHAHI WOOD</t>
  </si>
  <si>
    <t xml:space="preserve">VAISHNAV FLORA </t>
  </si>
  <si>
    <t xml:space="preserve">SAI LEELA FLORA</t>
  </si>
  <si>
    <t xml:space="preserve">MUTTA</t>
  </si>
  <si>
    <t xml:space="preserve">MASALA MUTTA</t>
  </si>
  <si>
    <t xml:space="preserve">GUGGUL &amp; LOBHAN</t>
  </si>
  <si>
    <t xml:space="preserve">COMBINED PACKET BATTI </t>
  </si>
  <si>
    <t xml:space="preserve">COMBINED PACKET BATTI</t>
  </si>
  <si>
    <t xml:space="preserve">GAGANFULL</t>
  </si>
  <si>
    <t xml:space="preserve">BARNI - LOOSE BLACK AGR 10 INCH</t>
  </si>
  <si>
    <t xml:space="preserve">SAMMAN</t>
  </si>
  <si>
    <t xml:space="preserve">KAWTHI CHAFA</t>
  </si>
  <si>
    <t xml:space="preserve">MARATHA MOGRA</t>
  </si>
  <si>
    <t xml:space="preserve">SPAARK</t>
  </si>
  <si>
    <t xml:space="preserve">SANGAM</t>
  </si>
  <si>
    <t xml:space="preserve">SUGANDHIKA</t>
  </si>
  <si>
    <t xml:space="preserve">BEL PATRA</t>
  </si>
  <si>
    <t xml:space="preserve">DIVYA CHANDAN</t>
  </si>
  <si>
    <t xml:space="preserve">BARNI - LOOSE WHITE AGR 10 INCH</t>
  </si>
  <si>
    <t xml:space="preserve">HEENA NATURAL</t>
  </si>
  <si>
    <t xml:space="preserve">LAVANYA</t>
  </si>
  <si>
    <t xml:space="preserve">SWARNAMALA</t>
  </si>
  <si>
    <t xml:space="preserve">EDEN</t>
  </si>
  <si>
    <t xml:space="preserve">FANTASY</t>
  </si>
  <si>
    <t xml:space="preserve">SHLOKA</t>
  </si>
  <si>
    <t xml:space="preserve">MILLIONS</t>
  </si>
  <si>
    <t xml:space="preserve">BRIJWASI</t>
  </si>
  <si>
    <t xml:space="preserve">SHANTIMANTRA</t>
  </si>
  <si>
    <t xml:space="preserve">SUPREME LOBAN</t>
  </si>
  <si>
    <t xml:space="preserve">BARNI -PREMIUM LOBHAN LOOSE WHITE AGR </t>
  </si>
  <si>
    <t xml:space="preserve">BARNI -PREMIUM LOBHAN LOOSE WHITE AGR</t>
  </si>
  <si>
    <t xml:space="preserve">SUPREME GUGGUL</t>
  </si>
  <si>
    <t xml:space="preserve">BARNI - PREMIUM GUGGUL LOOSE RED AGR </t>
  </si>
  <si>
    <t xml:space="preserve">BARNI - PREMIUM GUGGUL LOOSE RED AGR</t>
  </si>
  <si>
    <t xml:space="preserve">PANADI</t>
  </si>
  <si>
    <t xml:space="preserve">BARNI - LOOSE MASALA BATTI </t>
  </si>
  <si>
    <t xml:space="preserve">BARNI - LOOSE MASALA BATTI</t>
  </si>
  <si>
    <t xml:space="preserve">BANGALORE FLORA</t>
  </si>
  <si>
    <t xml:space="preserve">MAJMUA FLORA</t>
  </si>
  <si>
    <t xml:space="preserve">KRANTI FLORA</t>
  </si>
  <si>
    <t xml:space="preserve">IRA</t>
  </si>
  <si>
    <t xml:space="preserve">BASE BATTI</t>
  </si>
  <si>
    <t xml:space="preserve">KARUNA</t>
  </si>
  <si>
    <t xml:space="preserve">SHAMIYANA</t>
  </si>
  <si>
    <t xml:space="preserve">PRARTHANA</t>
  </si>
  <si>
    <t xml:space="preserve">PANCHATATVA DHOOP</t>
  </si>
  <si>
    <t xml:space="preserve">BAMBOOLESS AGR 8 INCH</t>
  </si>
  <si>
    <t xml:space="preserve">KESAR KASTURI DHOOP</t>
  </si>
  <si>
    <t xml:space="preserve">OCEAN ROSE DHOOP</t>
  </si>
  <si>
    <t xml:space="preserve">SHANTI DHOOP</t>
  </si>
  <si>
    <t xml:space="preserve">QTY (GMS)</t>
  </si>
  <si>
    <t xml:space="preserve">SFNF BASIC PRICE</t>
  </si>
  <si>
    <t xml:space="preserve">SELLING PRICE</t>
  </si>
  <si>
    <t xml:space="preserve">3ML ROLLON SELLING PRICES</t>
  </si>
  <si>
    <r>
      <rPr>
        <b val="true"/>
        <sz val="10"/>
        <color theme="1"/>
        <rFont val="Calibri"/>
        <family val="2"/>
        <charset val="1"/>
      </rPr>
      <t xml:space="preserve">3ML ROLLON </t>
    </r>
    <r>
      <rPr>
        <b val="true"/>
        <sz val="16"/>
        <color theme="1"/>
        <rFont val="Calibri"/>
        <family val="2"/>
        <charset val="1"/>
      </rPr>
      <t xml:space="preserve">MRP</t>
    </r>
  </si>
  <si>
    <t xml:space="preserve">8ML ROLLON SELLING PRICES</t>
  </si>
  <si>
    <r>
      <rPr>
        <b val="true"/>
        <sz val="10"/>
        <color theme="1"/>
        <rFont val="Calibri"/>
        <family val="2"/>
        <charset val="1"/>
      </rPr>
      <t xml:space="preserve">8ML ROLLON </t>
    </r>
    <r>
      <rPr>
        <b val="true"/>
        <sz val="16"/>
        <color theme="1"/>
        <rFont val="Calibri"/>
        <family val="2"/>
        <charset val="1"/>
      </rPr>
      <t xml:space="preserve">MRP</t>
    </r>
  </si>
  <si>
    <t xml:space="preserve">NATURAL JASMIN MOGRA</t>
  </si>
  <si>
    <t xml:space="preserve">3/8 GMS</t>
  </si>
  <si>
    <t xml:space="preserve">ATTAR / ROLL-ON</t>
  </si>
  <si>
    <t xml:space="preserve">TURKISH ROSE</t>
  </si>
  <si>
    <t xml:space="preserve">DAWN ROSE</t>
  </si>
  <si>
    <t xml:space="preserve">COOL MADINA</t>
  </si>
  <si>
    <t xml:space="preserve">KESAR SHAMAMA</t>
  </si>
  <si>
    <t xml:space="preserve">OUD NAWAB</t>
  </si>
  <si>
    <t xml:space="preserve">WHITE MUSK OUD</t>
  </si>
  <si>
    <t xml:space="preserve">NATURAL HEENA</t>
  </si>
  <si>
    <t xml:space="preserve">PERSIAN PRINCE</t>
  </si>
  <si>
    <t xml:space="preserve">NUIT FLOWER</t>
  </si>
  <si>
    <t xml:space="preserve">INVICTO</t>
  </si>
  <si>
    <t xml:space="preserve">WHITE OUD ARABIA</t>
  </si>
  <si>
    <t xml:space="preserve">ELLE DE BVRBERRY</t>
  </si>
  <si>
    <t xml:space="preserve">MOONLIGHT</t>
  </si>
  <si>
    <t xml:space="preserve">SPORTY ALLURE</t>
  </si>
  <si>
    <t xml:space="preserve">MONT BLANK</t>
  </si>
  <si>
    <t xml:space="preserve">NUIT NOIR</t>
  </si>
  <si>
    <t xml:space="preserve">SEA R7</t>
  </si>
  <si>
    <t xml:space="preserve">ESTRELLA AMBER</t>
  </si>
  <si>
    <t xml:space="preserve">LA VIE PACIFIC CHILL</t>
  </si>
  <si>
    <t xml:space="preserve">AMBRE NOMADE</t>
  </si>
  <si>
    <t xml:space="preserve">EL TRAP RAVES</t>
  </si>
  <si>
    <t xml:space="preserve">WITH YOU</t>
  </si>
  <si>
    <t xml:space="preserve">WANTED AZURE</t>
  </si>
  <si>
    <t xml:space="preserve">STRAWBERRY POUND</t>
  </si>
  <si>
    <t xml:space="preserve">GOLDEN SHEIKH</t>
  </si>
  <si>
    <t xml:space="preserve">BAD BOY</t>
  </si>
  <si>
    <t xml:space="preserve">MANLY MONTCLAIR</t>
  </si>
  <si>
    <t xml:space="preserve">L'IMMENSE</t>
  </si>
  <si>
    <t xml:space="preserve">MARC JANYMEDE</t>
  </si>
  <si>
    <t xml:space="preserve">COLUMBIAN DREAMER</t>
  </si>
  <si>
    <t xml:space="preserve">LASTING EXPRESSIONS</t>
  </si>
  <si>
    <t xml:space="preserve">SOLIQUE AMOUR</t>
  </si>
  <si>
    <t xml:space="preserve">JANNAT EL FIRDAUS</t>
  </si>
  <si>
    <t xml:space="preserve">INTENSA LIBERTE</t>
  </si>
  <si>
    <t xml:space="preserve">D H ICON ABSOLUTE</t>
  </si>
  <si>
    <t xml:space="preserve">SPRAYS - 60ML</t>
  </si>
  <si>
    <t xml:space="preserve">DYPTICK</t>
  </si>
  <si>
    <t xml:space="preserve">NIGHT LADY</t>
  </si>
  <si>
    <t xml:space="preserve">ELYSIAN</t>
  </si>
  <si>
    <t xml:space="preserve">ICONIC</t>
  </si>
  <si>
    <t xml:space="preserve">MONSERRAT</t>
  </si>
  <si>
    <t xml:space="preserve">GORGEOUS FLORA</t>
  </si>
  <si>
    <t xml:space="preserve">CRYSTAL AVENUE</t>
  </si>
  <si>
    <t xml:space="preserve">BLEU LAGOON</t>
  </si>
  <si>
    <t xml:space="preserve">JINNY JONNY</t>
  </si>
  <si>
    <t xml:space="preserve">CASA BLANCO</t>
  </si>
  <si>
    <t xml:space="preserve">LA BELLAZA</t>
  </si>
  <si>
    <t xml:space="preserve">INNOCENT GUILTY</t>
  </si>
  <si>
    <t xml:space="preserve">IMAGINATION</t>
  </si>
  <si>
    <t xml:space="preserve">ITALIAN LEATHER</t>
  </si>
  <si>
    <t xml:space="preserve">COOLBERG</t>
  </si>
  <si>
    <t xml:space="preserve">PURE SANDAL</t>
  </si>
  <si>
    <t xml:space="preserve">ARABIAN OUD</t>
  </si>
  <si>
    <t xml:space="preserve">JOVAAN MUSK</t>
  </si>
  <si>
    <t xml:space="preserve">OUDH COLOGNE</t>
  </si>
  <si>
    <t xml:space="preserve">BLACK SOUL</t>
  </si>
  <si>
    <t xml:space="preserve">ELXIR SAVAGE</t>
  </si>
  <si>
    <t xml:space="preserve">WHITE PATCHOULI</t>
  </si>
  <si>
    <t xml:space="preserve">SPICY ORCHID</t>
  </si>
  <si>
    <t xml:space="preserve">WHITE STAR</t>
  </si>
  <si>
    <t xml:space="preserve">LUXURY ROSE</t>
  </si>
  <si>
    <t xml:space="preserve">SANDAL OUD</t>
  </si>
  <si>
    <t xml:space="preserve">OUDH OF EGYPT</t>
  </si>
  <si>
    <t xml:space="preserve">TABAC VANILLA</t>
  </si>
  <si>
    <t xml:space="preserve">POLO BLEU</t>
  </si>
  <si>
    <t xml:space="preserve">ARABIAN CIGAR</t>
  </si>
  <si>
    <t xml:space="preserve">AQUA DI JIO ARMANI</t>
  </si>
  <si>
    <t xml:space="preserve">SPRAYS - 100ML</t>
  </si>
  <si>
    <t xml:space="preserve">ESSENCE d'ORANGE</t>
  </si>
  <si>
    <t xml:space="preserve">TOP NOTE - MYOP </t>
  </si>
  <si>
    <t xml:space="preserve">TOP NOTE - MYOP</t>
  </si>
  <si>
    <t xml:space="preserve">LEMON ZEST SAUVAGE</t>
  </si>
  <si>
    <t xml:space="preserve">EAU DE COLOGNE</t>
  </si>
  <si>
    <t xml:space="preserve">MANDARINE LUMEIRE</t>
  </si>
  <si>
    <t xml:space="preserve">EPICES SAUVAGES</t>
  </si>
  <si>
    <t xml:space="preserve">OCEAN MARIN</t>
  </si>
  <si>
    <t xml:space="preserve">FRUIT d'AGRUMES</t>
  </si>
  <si>
    <t xml:space="preserve">ECLAT De ROSE</t>
  </si>
  <si>
    <t xml:space="preserve">MIDDLE NOTE - MYOP</t>
  </si>
  <si>
    <t xml:space="preserve">JASMIN ELIXIR</t>
  </si>
  <si>
    <t xml:space="preserve">ABSOLUTE De NARCISSE</t>
  </si>
  <si>
    <t xml:space="preserve">FLEUR d'YLANG</t>
  </si>
  <si>
    <t xml:space="preserve">FLEUR De MUGUET</t>
  </si>
  <si>
    <t xml:space="preserve">FOURGERE De LAVANDER</t>
  </si>
  <si>
    <t xml:space="preserve">FLOR De VERDE</t>
  </si>
  <si>
    <t xml:space="preserve">BOIS De SANTAL</t>
  </si>
  <si>
    <t xml:space="preserve">BASE NOTE - MYOP</t>
  </si>
  <si>
    <t xml:space="preserve">MUSC BLANC</t>
  </si>
  <si>
    <t xml:space="preserve">AMBRE NOIR</t>
  </si>
  <si>
    <t xml:space="preserve">TERRE d'OMBRE</t>
  </si>
  <si>
    <t xml:space="preserve">BOIS De AGAROUD</t>
  </si>
  <si>
    <t xml:space="preserve">BOIS et TERRE</t>
  </si>
  <si>
    <t xml:space="preserve">VANILLE ROYALE</t>
  </si>
  <si>
    <t xml:space="preserve">CHOCOLAT INTENSE</t>
  </si>
  <si>
    <t xml:space="preserve">BOIS De CUIR AMBRE</t>
  </si>
  <si>
    <t xml:space="preserve">ECLAT GOURMAND</t>
  </si>
  <si>
    <t xml:space="preserve">BHIMSEN CAMPHOR 100GM - CHIPS</t>
  </si>
  <si>
    <t xml:space="preserve">BHIMSEN CAMPHOR</t>
  </si>
  <si>
    <t xml:space="preserve">BHIMSEN CAMPOR 30GM - TABLET</t>
  </si>
  <si>
    <t xml:space="preserve">BHIMSEN CAMPOR 100GM - TABLET</t>
  </si>
  <si>
    <t xml:space="preserve">BHIMSEN CAMPOR 30GM - CHIPS</t>
  </si>
  <si>
    <t xml:space="preserve">LAVENDER </t>
  </si>
  <si>
    <t xml:space="preserve">AIR FRESHNER - 100GMS</t>
  </si>
  <si>
    <t xml:space="preserve">SANDAL</t>
  </si>
  <si>
    <t xml:space="preserve">JASMIN</t>
  </si>
  <si>
    <t xml:space="preserve">LEMON</t>
  </si>
  <si>
    <t xml:space="preserve">MUSK</t>
  </si>
  <si>
    <t xml:space="preserve">WILD ELIXIR</t>
  </si>
  <si>
    <t xml:space="preserve">10 GMS</t>
  </si>
  <si>
    <t xml:space="preserve">SOLID PERFUME </t>
  </si>
  <si>
    <t xml:space="preserve">SOLID PERFUME</t>
  </si>
  <si>
    <t xml:space="preserve">RAVAGE</t>
  </si>
  <si>
    <t xml:space="preserve">ORCHIDEE NOIR</t>
  </si>
  <si>
    <t xml:space="preserve">MUSC DE NAFA</t>
  </si>
  <si>
    <t xml:space="preserve">CHOCO VANILLE</t>
  </si>
  <si>
    <t xml:space="preserve">BLANC PATCHOULY</t>
  </si>
  <si>
    <t xml:space="preserve">KADI DHOOP - 50 GMS</t>
  </si>
  <si>
    <t xml:space="preserve">50 GMS</t>
  </si>
  <si>
    <t xml:space="preserve">KADI DHOOP</t>
  </si>
  <si>
    <t xml:space="preserve">KADI DHOOP - 100 GMS</t>
  </si>
  <si>
    <t xml:space="preserve">100 GMS</t>
  </si>
  <si>
    <t xml:space="preserve">10 X 10ML - SPRAY BOX</t>
  </si>
  <si>
    <t xml:space="preserve">ROSE OUD</t>
  </si>
  <si>
    <t xml:space="preserve">BAKOOR</t>
  </si>
  <si>
    <t xml:space="preserve">ALMISNY</t>
  </si>
  <si>
    <t xml:space="preserve">ROYAL OUD</t>
  </si>
  <si>
    <t xml:space="preserve">ARABIC MUKHALLAT</t>
  </si>
  <si>
    <t xml:space="preserve">SHAMAMA ROYAL</t>
  </si>
  <si>
    <t xml:space="preserve">MABSOOS</t>
  </si>
  <si>
    <t xml:space="preserve">AMBER OUD</t>
  </si>
  <si>
    <t xml:space="preserve">BEHTAREEN</t>
  </si>
  <si>
    <t xml:space="preserve">AL SHAFAQ</t>
  </si>
  <si>
    <t xml:space="preserve">BLACK ORCHID</t>
  </si>
  <si>
    <t xml:space="preserve">BAKOOR DANI</t>
  </si>
  <si>
    <t xml:space="preserve">MAGIC COAL</t>
  </si>
  <si>
    <t xml:space="preserve">LEMON ZEST</t>
  </si>
  <si>
    <t xml:space="preserve">1 TAG AND 10 ML SPRAY</t>
  </si>
  <si>
    <t xml:space="preserve">STRAWBERRY TRIAL</t>
  </si>
  <si>
    <t xml:space="preserve">LUXURY LAVENDER</t>
  </si>
  <si>
    <t xml:space="preserve">WHITE PETAL</t>
  </si>
  <si>
    <t xml:space="preserve">SERENE SANDAL</t>
  </si>
  <si>
    <t xml:space="preserve">CHROMA MUSK</t>
  </si>
  <si>
    <t xml:space="preserve">AEROMIST</t>
  </si>
  <si>
    <t xml:space="preserve">NOIR RIDE</t>
  </si>
  <si>
    <t xml:space="preserve">VELVET DRIVE</t>
  </si>
  <si>
    <t xml:space="preserve">ORANGE BURST</t>
  </si>
  <si>
    <t xml:space="preserve">SHAHI KASTURI</t>
  </si>
  <si>
    <t xml:space="preserve">4' BAMBOOLESS IN BOX</t>
  </si>
  <si>
    <t xml:space="preserve">SHAHI GULAB</t>
  </si>
  <si>
    <t xml:space="preserve">SHAHI BAKOOR</t>
  </si>
  <si>
    <t xml:space="preserve">SHAHI SANDAL</t>
  </si>
  <si>
    <t xml:space="preserve">HEENA MAJMUA</t>
  </si>
  <si>
    <t xml:space="preserve">PREMIUM BASE BATTI</t>
  </si>
  <si>
    <t xml:space="preserve">ROYAL KASTURI</t>
  </si>
  <si>
    <t xml:space="preserve">ARABIAN BAKHOOR</t>
  </si>
  <si>
    <t xml:space="preserve">KESAR CHANDAN</t>
  </si>
  <si>
    <t xml:space="preserve">SAPTA SHRINGAR</t>
  </si>
  <si>
    <r>
      <rPr>
        <b val="true"/>
        <sz val="10"/>
        <color theme="1"/>
        <rFont val="Calibri"/>
        <family val="2"/>
        <charset val="1"/>
      </rPr>
      <t xml:space="preserve">6ML ROLLON </t>
    </r>
    <r>
      <rPr>
        <b val="true"/>
        <sz val="16"/>
        <color theme="1"/>
        <rFont val="Calibri"/>
        <family val="2"/>
        <charset val="1"/>
      </rPr>
      <t xml:space="preserve">MRP</t>
    </r>
  </si>
  <si>
    <r>
      <rPr>
        <b val="true"/>
        <sz val="10"/>
        <color theme="1"/>
        <rFont val="Calibri"/>
        <family val="2"/>
        <charset val="1"/>
      </rPr>
      <t xml:space="preserve">12ML ROLLON </t>
    </r>
    <r>
      <rPr>
        <b val="true"/>
        <sz val="16"/>
        <color theme="1"/>
        <rFont val="Calibri"/>
        <family val="2"/>
        <charset val="1"/>
      </rPr>
      <t xml:space="preserve">MRP</t>
    </r>
  </si>
  <si>
    <t xml:space="preserve">Row Labels</t>
  </si>
  <si>
    <t xml:space="preserve">(empty)</t>
  </si>
  <si>
    <t xml:space="preserve">Total Result</t>
  </si>
  <si>
    <t xml:space="preserve">EQUIVALENT</t>
  </si>
  <si>
    <t xml:space="preserve">COMPANY TO COMPANY</t>
  </si>
  <si>
    <t xml:space="preserve">25 GMS</t>
  </si>
  <si>
    <t xml:space="preserve">JASMIN NATURAL</t>
  </si>
  <si>
    <t xml:space="preserve">250 GMS</t>
  </si>
  <si>
    <t xml:space="preserve">AKASHFULL</t>
  </si>
  <si>
    <t xml:space="preserve">ABHIMAAN</t>
  </si>
  <si>
    <t xml:space="preserve">MILAN</t>
  </si>
  <si>
    <t xml:space="preserve">PRECIOUS CHANDAN</t>
  </si>
  <si>
    <t xml:space="preserve">PRECIOUS LAVENDER</t>
  </si>
  <si>
    <t xml:space="preserve">RATNAMALA</t>
  </si>
  <si>
    <t xml:space="preserve">JORDAN</t>
  </si>
  <si>
    <t xml:space="preserve">LYRICS</t>
  </si>
  <si>
    <t xml:space="preserve">PANCHAVATIDHUP</t>
  </si>
  <si>
    <t xml:space="preserve">KESAR KASTURI DHUP</t>
  </si>
  <si>
    <t xml:space="preserve">OCEAN ROSE DHUP</t>
  </si>
  <si>
    <t xml:space="preserve">SHANTIDHUP</t>
  </si>
  <si>
    <t xml:space="preserve">NATURAL MOGRA</t>
  </si>
  <si>
    <t xml:space="preserve">AFGHAN ROSE</t>
  </si>
  <si>
    <t xml:space="preserve">ALFAJR</t>
  </si>
  <si>
    <t xml:space="preserve">MUSK OUD</t>
  </si>
  <si>
    <t xml:space="preserve">AL REHAB PRINCE OF DESERT</t>
  </si>
  <si>
    <t xml:space="preserve">KARKAR WHITE OUD ABIYAD</t>
  </si>
  <si>
    <t xml:space="preserve">BERBERRY HER</t>
  </si>
  <si>
    <t xml:space="preserve">LAFFATA KAMRAH = PAWAN KASERA</t>
  </si>
  <si>
    <t xml:space="preserve">CHANEL ALLURE SPORT</t>
  </si>
  <si>
    <t xml:space="preserve">LEGEND MOBLA</t>
  </si>
  <si>
    <t xml:space="preserve">MONTAL AOUD NIGHT</t>
  </si>
  <si>
    <t xml:space="preserve">CR7</t>
  </si>
  <si>
    <t xml:space="preserve">XERJOFF AMBER STAR</t>
  </si>
  <si>
    <t xml:space="preserve">LV PACIFIC CHIL</t>
  </si>
  <si>
    <t xml:space="preserve">LY OMBRE NOMADE</t>
  </si>
  <si>
    <t xml:space="preserve">LV ATTRAPE REVES</t>
  </si>
  <si>
    <t xml:space="preserve">ARMANI STRONGER WITH YOU</t>
  </si>
  <si>
    <t xml:space="preserve">AZZARO WANTED</t>
  </si>
  <si>
    <t xml:space="preserve">STRAWBERRY POUND CAKE</t>
  </si>
  <si>
    <t xml:space="preserve">SHEIKH GOLD</t>
  </si>
  <si>
    <t xml:space="preserve">CH BAD BOT</t>
  </si>
  <si>
    <t xml:space="preserve">MARLY HARTANE</t>
  </si>
  <si>
    <t xml:space="preserve">LV L'IMMENSE</t>
  </si>
  <si>
    <t xml:space="preserve">MARC ANTOINE BARRIOS GANYMEDE</t>
  </si>
  <si>
    <t xml:space="preserve">LV CALIFORNIA DREAM</t>
  </si>
  <si>
    <t xml:space="preserve">AREVA BIANCO LATTE EXPRESSIONS PARFUM</t>
  </si>
  <si>
    <t xml:space="preserve">LALIQUE L'AMOR</t>
  </si>
  <si>
    <t xml:space="preserve">YSL LIBRE INTENSE</t>
  </si>
  <si>
    <t xml:space="preserve">ESSENCE D'ORANGE</t>
  </si>
  <si>
    <t xml:space="preserve">FRUIT D'AGRUMES</t>
  </si>
  <si>
    <t xml:space="preserve">SIPL TO SADVIK</t>
  </si>
  <si>
    <t xml:space="preserve">SHAHI FLORA POUCH</t>
  </si>
  <si>
    <t xml:space="preserve">SHAHI WOOD POUCH</t>
  </si>
  <si>
    <t xml:space="preserve">SADVIK TO SM</t>
  </si>
  <si>
    <t xml:space="preserve">SHAHI FLORA MUTTA</t>
  </si>
  <si>
    <t xml:space="preserve">SHAHI WOOD MUTTA</t>
  </si>
  <si>
    <t xml:space="preserve">RUH E KASTURI DHOOP</t>
  </si>
  <si>
    <t xml:space="preserve">SAUDI BAKHOOR</t>
  </si>
  <si>
    <t xml:space="preserve">RUH E KASTURI BAMBOO LESS</t>
  </si>
  <si>
    <t xml:space="preserve">VIGHNAHARTA POUCH</t>
  </si>
  <si>
    <t xml:space="preserve">VISHWATMA POUCH</t>
  </si>
  <si>
    <t xml:space="preserve">NIRVANA POUCH</t>
  </si>
  <si>
    <t xml:space="preserve">KASTURI POUCH</t>
  </si>
  <si>
    <t xml:space="preserve">KEDARNATH POUCH</t>
  </si>
  <si>
    <t xml:space="preserve">KRISHNA POUCH</t>
  </si>
  <si>
    <t xml:space="preserve">KRISHNA LEELA POUCH</t>
  </si>
  <si>
    <t xml:space="preserve">SANDALWOOD POUCH</t>
  </si>
  <si>
    <t xml:space="preserve">TRILOK POUCH</t>
  </si>
  <si>
    <t xml:space="preserve">EKDANT POUCH</t>
  </si>
  <si>
    <t xml:space="preserve">VIGHNAHARTA MUTTA</t>
  </si>
  <si>
    <t xml:space="preserve">KASTURI MUTTA</t>
  </si>
  <si>
    <t xml:space="preserve">NIRVANA MUTTA</t>
  </si>
  <si>
    <t xml:space="preserve">VISHWATMA MUTTA</t>
  </si>
  <si>
    <t xml:space="preserve">KEDARNATH MUTTA</t>
  </si>
  <si>
    <t xml:space="preserve">KRISHNA MUTTA</t>
  </si>
  <si>
    <t xml:space="preserve">KRISHNA LEELA MUTTA</t>
  </si>
  <si>
    <t xml:space="preserve">SANDALWOOD MUTTA</t>
  </si>
  <si>
    <t xml:space="preserve">TRILOK MUTTA</t>
  </si>
  <si>
    <t xml:space="preserve">EKDANT MUTTA</t>
  </si>
  <si>
    <t xml:space="preserve">TOP NOT</t>
  </si>
  <si>
    <t xml:space="preserve">MIDDLE NOTE</t>
  </si>
  <si>
    <t xml:space="preserve">BASE NOTE</t>
  </si>
  <si>
    <t xml:space="preserve">AGARBATTI</t>
  </si>
  <si>
    <r>
      <rPr>
        <sz val="11"/>
        <color theme="1"/>
        <rFont val="Calibri"/>
        <family val="2"/>
        <charset val="1"/>
      </rPr>
      <t xml:space="preserve">GAGANFULL </t>
    </r>
    <r>
      <rPr>
        <sz val="11"/>
        <color rgb="FFFF0000"/>
        <rFont val="Calibri"/>
        <family val="2"/>
        <charset val="1"/>
      </rPr>
      <t xml:space="preserve">(AKASHFULL)</t>
    </r>
  </si>
  <si>
    <r>
      <rPr>
        <sz val="11"/>
        <color theme="1"/>
        <rFont val="Calibri"/>
        <family val="2"/>
        <charset val="1"/>
      </rPr>
      <t xml:space="preserve">SAMMAN </t>
    </r>
    <r>
      <rPr>
        <sz val="11"/>
        <color rgb="FFFF0000"/>
        <rFont val="Calibri"/>
        <family val="2"/>
        <charset val="1"/>
      </rPr>
      <t xml:space="preserve">(ABHIMAAN)</t>
    </r>
  </si>
  <si>
    <r>
      <rPr>
        <sz val="11"/>
        <color theme="1"/>
        <rFont val="Calibri"/>
        <family val="2"/>
        <charset val="1"/>
      </rPr>
      <t xml:space="preserve">SANGAM </t>
    </r>
    <r>
      <rPr>
        <sz val="11"/>
        <color rgb="FFFF0000"/>
        <rFont val="Calibri"/>
        <family val="2"/>
        <charset val="1"/>
      </rPr>
      <t xml:space="preserve">(MILAN)</t>
    </r>
  </si>
  <si>
    <r>
      <rPr>
        <sz val="11"/>
        <color theme="1"/>
        <rFont val="Calibri"/>
        <family val="2"/>
        <charset val="1"/>
      </rPr>
      <t xml:space="preserve">SUGANDHIKA </t>
    </r>
    <r>
      <rPr>
        <sz val="11"/>
        <color rgb="FFFF0000"/>
        <rFont val="Calibri"/>
        <family val="2"/>
        <charset val="1"/>
      </rPr>
      <t xml:space="preserve">(ALDEHYDEN)</t>
    </r>
  </si>
  <si>
    <r>
      <rPr>
        <sz val="11"/>
        <color theme="1"/>
        <rFont val="Calibri"/>
        <family val="2"/>
        <charset val="1"/>
      </rPr>
      <t xml:space="preserve">DIVYA CHANDAN </t>
    </r>
    <r>
      <rPr>
        <sz val="11"/>
        <color rgb="FFFF0000"/>
        <rFont val="Calibri"/>
        <family val="2"/>
        <charset val="1"/>
      </rPr>
      <t xml:space="preserve">(PRECIOUS CHANDAN)</t>
    </r>
  </si>
  <si>
    <r>
      <rPr>
        <sz val="11"/>
        <color theme="1"/>
        <rFont val="Calibri"/>
        <family val="2"/>
        <charset val="1"/>
      </rPr>
      <t xml:space="preserve">LAVANYA </t>
    </r>
    <r>
      <rPr>
        <sz val="11"/>
        <color rgb="FFFF0000"/>
        <rFont val="Calibri"/>
        <family val="2"/>
        <charset val="1"/>
      </rPr>
      <t xml:space="preserve">(PRECIOUS LAVENDER)</t>
    </r>
  </si>
  <si>
    <r>
      <rPr>
        <sz val="11"/>
        <color theme="1"/>
        <rFont val="Calibri"/>
        <family val="2"/>
        <charset val="1"/>
      </rPr>
      <t xml:space="preserve">SWARNAMALA </t>
    </r>
    <r>
      <rPr>
        <sz val="11"/>
        <color rgb="FFFF0000"/>
        <rFont val="Calibri"/>
        <family val="2"/>
        <charset val="1"/>
      </rPr>
      <t xml:space="preserve">(RATNAMALA)</t>
    </r>
  </si>
  <si>
    <r>
      <rPr>
        <sz val="11"/>
        <color theme="1"/>
        <rFont val="Calibri"/>
        <family val="2"/>
        <charset val="1"/>
      </rPr>
      <t xml:space="preserve">EDEN </t>
    </r>
    <r>
      <rPr>
        <sz val="11"/>
        <color rgb="FFFF0000"/>
        <rFont val="Calibri"/>
        <family val="2"/>
        <charset val="1"/>
      </rPr>
      <t xml:space="preserve">(JORDAN)</t>
    </r>
  </si>
  <si>
    <r>
      <rPr>
        <sz val="11"/>
        <color theme="1"/>
        <rFont val="Calibri"/>
        <family val="2"/>
        <charset val="1"/>
      </rPr>
      <t xml:space="preserve">SHLOKA </t>
    </r>
    <r>
      <rPr>
        <sz val="11"/>
        <color rgb="FFFF0000"/>
        <rFont val="Calibri"/>
        <family val="2"/>
        <charset val="1"/>
      </rPr>
      <t xml:space="preserve">(LYRICS)</t>
    </r>
  </si>
  <si>
    <r>
      <rPr>
        <sz val="11"/>
        <color theme="1"/>
        <rFont val="Calibri"/>
        <family val="2"/>
        <charset val="1"/>
      </rPr>
      <t xml:space="preserve">PANCHATATVA DHOOP </t>
    </r>
    <r>
      <rPr>
        <sz val="11"/>
        <color rgb="FFFF0000"/>
        <rFont val="Calibri"/>
        <family val="2"/>
        <charset val="1"/>
      </rPr>
      <t xml:space="preserve">(DHENUM)</t>
    </r>
  </si>
  <si>
    <r>
      <rPr>
        <sz val="11"/>
        <color theme="1"/>
        <rFont val="Calibri"/>
        <family val="2"/>
        <charset val="1"/>
      </rPr>
      <t xml:space="preserve">KESAR KASTURI DHOOP </t>
    </r>
    <r>
      <rPr>
        <sz val="11"/>
        <color rgb="FFFF0000"/>
        <rFont val="Calibri"/>
        <family val="2"/>
        <charset val="1"/>
      </rPr>
      <t xml:space="preserve">(MUSK SAFFRON)</t>
    </r>
  </si>
  <si>
    <t xml:space="preserve">MRP 3mL</t>
  </si>
  <si>
    <t xml:space="preserve">MRP 8mL</t>
  </si>
  <si>
    <t xml:space="preserve">SPRAYS</t>
  </si>
  <si>
    <t xml:space="preserve">CYSS</t>
  </si>
  <si>
    <t xml:space="preserve">CAMPHOR</t>
  </si>
  <si>
    <t xml:space="preserve">AIR FRESHNER</t>
  </si>
  <si>
    <t xml:space="preserve">CAR FRESHNER</t>
  </si>
  <si>
    <t xml:space="preserve">BAMBOOLESS 4" DHOOP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</si>
</sst>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tkinson Hyperlegible Next"/>
      <family val="2"/>
    </font>
    <font>
      <sz val="9"/>
      <color rgb="FF000000"/>
      <name val="Tahom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45"/>
      <color theme="1"/>
      <name val="Calibri"/>
      <family val="2"/>
      <charset val="1"/>
    </font>
    <font>
      <b val="true"/>
      <sz val="48"/>
      <color theme="1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2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0C0C0"/>
      </patternFill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9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A:E" sheet="Sheet3"/>
  </cacheSource>
  <cacheFields count="5">
    <cacheField name="PRODUCT NAME" numFmtId="0">
      <sharedItems containsBlank="1" count="36">
        <s v="AMBRE NOMADE"/>
        <s v="BAD BOY"/>
        <s v="COLUMBIAN DREAMER"/>
        <s v="COOL MADINA"/>
        <s v="DAWN ROSE"/>
        <s v="EL TRAP RAVES"/>
        <s v="ELLE DE BVRBERRY"/>
        <s v="ESTRELLA AMBER"/>
        <s v="GOLDEN SHEIKH"/>
        <s v="INTENSA LIBERTE"/>
        <s v="INVICTO"/>
        <s v="KESAR SHAMAMA"/>
        <s v="L'IMMENSE"/>
        <s v="LA VIE PACIFIC CHILL"/>
        <s v="LASTING EXPRESSIONS"/>
        <s v="MANLY MONTCLAIR"/>
        <s v="MARC JANYMEDE"/>
        <s v="MONT BLANK"/>
        <s v="MOONLIGHT"/>
        <s v="NATURAL HEENA"/>
        <s v="NATURAL JASMIN MOGRA"/>
        <s v="NUIT FLOWER"/>
        <s v="NUIT NOIR"/>
        <s v="OUD NAWAB"/>
        <s v="PERSIAN PRINCE"/>
        <s v="SANDALWOOD"/>
        <s v="SEA R7"/>
        <s v="SOLIQUE AMOUR"/>
        <s v="SPORTY ALLURE"/>
        <s v="STRAWBERRY POUND"/>
        <s v="TURKISH ROSE"/>
        <s v="WANTED AZURE"/>
        <s v="WHITE MUSK OUD"/>
        <s v="WHITE OUD ARABIA"/>
        <s v="WITH YOU"/>
        <m/>
      </sharedItems>
    </cacheField>
    <cacheField name="DB CATEGORY" numFmtId="0">
      <sharedItems containsBlank="1" count="2">
        <s v="ATTAR / ROLL-ON"/>
        <m/>
      </sharedItems>
    </cacheField>
    <cacheField name="6ML ROLLON MRP" numFmtId="0">
      <sharedItems containsString="0" containsBlank="1" containsNumber="1" containsInteger="1" minValue="150" maxValue="600" count="10">
        <n v="150"/>
        <n v="200"/>
        <n v="250"/>
        <n v="300"/>
        <n v="350"/>
        <n v="400"/>
        <n v="450"/>
        <n v="500"/>
        <n v="600"/>
        <m/>
      </sharedItems>
    </cacheField>
    <cacheField name="8ML ROLLON MRP" numFmtId="0">
      <sharedItems containsString="0" containsBlank="1" containsNumber="1" containsInteger="1" minValue="200" maxValue="800" count="10">
        <n v="200"/>
        <n v="270"/>
        <n v="340"/>
        <n v="400"/>
        <n v="470"/>
        <n v="540"/>
        <n v="600"/>
        <n v="670"/>
        <n v="800"/>
        <m/>
      </sharedItems>
    </cacheField>
    <cacheField name="12ML ROLLON MRP" numFmtId="0">
      <sharedItems containsString="0" containsBlank="1" containsNumber="1" containsInteger="1" minValue="280" maxValue="1180" count="11">
        <n v="280"/>
        <n v="380"/>
        <n v="480"/>
        <n v="580"/>
        <n v="680"/>
        <n v="780"/>
        <n v="880"/>
        <n v="1000"/>
        <n v="1080"/>
        <n v="118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20"/>
    <x v="0"/>
    <x v="0"/>
    <x v="0"/>
    <x v="0"/>
  </r>
  <r>
    <x v="30"/>
    <x v="0"/>
    <x v="1"/>
    <x v="1"/>
    <x v="1"/>
  </r>
  <r>
    <x v="28"/>
    <x v="0"/>
    <x v="1"/>
    <x v="1"/>
    <x v="1"/>
  </r>
  <r>
    <x v="17"/>
    <x v="1"/>
    <x v="1"/>
    <x v="1"/>
    <x v="1"/>
  </r>
  <r>
    <x v="4"/>
    <x v="0"/>
    <x v="1"/>
    <x v="1"/>
    <x v="1"/>
  </r>
  <r>
    <x v="3"/>
    <x v="0"/>
    <x v="1"/>
    <x v="1"/>
    <x v="1"/>
  </r>
  <r>
    <x v="19"/>
    <x v="0"/>
    <x v="2"/>
    <x v="2"/>
    <x v="2"/>
  </r>
  <r>
    <x v="10"/>
    <x v="1"/>
    <x v="2"/>
    <x v="2"/>
    <x v="2"/>
  </r>
  <r>
    <x v="29"/>
    <x v="0"/>
    <x v="2"/>
    <x v="2"/>
    <x v="2"/>
  </r>
  <r>
    <x v="21"/>
    <x v="0"/>
    <x v="2"/>
    <x v="2"/>
    <x v="2"/>
  </r>
  <r>
    <x v="18"/>
    <x v="0"/>
    <x v="2"/>
    <x v="2"/>
    <x v="2"/>
  </r>
  <r>
    <x v="25"/>
    <x v="1"/>
    <x v="3"/>
    <x v="3"/>
    <x v="3"/>
  </r>
  <r>
    <x v="24"/>
    <x v="0"/>
    <x v="3"/>
    <x v="3"/>
    <x v="3"/>
  </r>
  <r>
    <x v="6"/>
    <x v="1"/>
    <x v="3"/>
    <x v="3"/>
    <x v="3"/>
  </r>
  <r>
    <x v="13"/>
    <x v="0"/>
    <x v="3"/>
    <x v="3"/>
    <x v="3"/>
  </r>
  <r>
    <x v="5"/>
    <x v="0"/>
    <x v="3"/>
    <x v="3"/>
    <x v="3"/>
  </r>
  <r>
    <x v="34"/>
    <x v="0"/>
    <x v="3"/>
    <x v="3"/>
    <x v="3"/>
  </r>
  <r>
    <x v="7"/>
    <x v="0"/>
    <x v="4"/>
    <x v="4"/>
    <x v="4"/>
  </r>
  <r>
    <x v="31"/>
    <x v="0"/>
    <x v="4"/>
    <x v="4"/>
    <x v="4"/>
  </r>
  <r>
    <x v="1"/>
    <x v="0"/>
    <x v="4"/>
    <x v="4"/>
    <x v="4"/>
  </r>
  <r>
    <x v="11"/>
    <x v="0"/>
    <x v="5"/>
    <x v="5"/>
    <x v="5"/>
  </r>
  <r>
    <x v="32"/>
    <x v="0"/>
    <x v="5"/>
    <x v="5"/>
    <x v="5"/>
  </r>
  <r>
    <x v="33"/>
    <x v="0"/>
    <x v="5"/>
    <x v="5"/>
    <x v="5"/>
  </r>
  <r>
    <x v="22"/>
    <x v="0"/>
    <x v="5"/>
    <x v="5"/>
    <x v="5"/>
  </r>
  <r>
    <x v="26"/>
    <x v="0"/>
    <x v="5"/>
    <x v="5"/>
    <x v="5"/>
  </r>
  <r>
    <x v="8"/>
    <x v="0"/>
    <x v="5"/>
    <x v="5"/>
    <x v="5"/>
  </r>
  <r>
    <x v="15"/>
    <x v="0"/>
    <x v="5"/>
    <x v="5"/>
    <x v="5"/>
  </r>
  <r>
    <x v="0"/>
    <x v="0"/>
    <x v="6"/>
    <x v="6"/>
    <x v="6"/>
  </r>
  <r>
    <x v="16"/>
    <x v="0"/>
    <x v="6"/>
    <x v="6"/>
    <x v="6"/>
  </r>
  <r>
    <x v="2"/>
    <x v="0"/>
    <x v="6"/>
    <x v="6"/>
    <x v="6"/>
  </r>
  <r>
    <x v="14"/>
    <x v="0"/>
    <x v="6"/>
    <x v="6"/>
    <x v="6"/>
  </r>
  <r>
    <x v="27"/>
    <x v="0"/>
    <x v="6"/>
    <x v="6"/>
    <x v="6"/>
  </r>
  <r>
    <x v="23"/>
    <x v="1"/>
    <x v="7"/>
    <x v="7"/>
    <x v="7"/>
  </r>
  <r>
    <x v="12"/>
    <x v="0"/>
    <x v="4"/>
    <x v="4"/>
    <x v="8"/>
  </r>
  <r>
    <x v="9"/>
    <x v="0"/>
    <x v="8"/>
    <x v="8"/>
    <x v="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51" firstHeaderRow="1" firstDataRow="1" firstDataCol="1"/>
  <pivotFields count="5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2">
    <field x="4"/>
    <field x="0"/>
  </rowFields>
  <rowItems count="48">
    <i>
      <x/>
    </i>
    <i r="1">
      <x v="20"/>
    </i>
    <i>
      <x v="1"/>
    </i>
    <i r="1">
      <x v="3"/>
    </i>
    <i r="1">
      <x v="4"/>
    </i>
    <i r="1">
      <x v="17"/>
    </i>
    <i r="1">
      <x v="28"/>
    </i>
    <i r="1">
      <x v="30"/>
    </i>
    <i>
      <x v="2"/>
    </i>
    <i r="1">
      <x v="10"/>
    </i>
    <i r="1">
      <x v="18"/>
    </i>
    <i r="1">
      <x v="19"/>
    </i>
    <i r="1">
      <x v="21"/>
    </i>
    <i r="1">
      <x v="29"/>
    </i>
    <i>
      <x v="3"/>
    </i>
    <i r="1">
      <x v="5"/>
    </i>
    <i r="1">
      <x v="6"/>
    </i>
    <i r="1">
      <x v="12"/>
    </i>
    <i r="1">
      <x v="24"/>
    </i>
    <i r="1">
      <x v="25"/>
    </i>
    <i r="1">
      <x v="34"/>
    </i>
    <i>
      <x v="4"/>
    </i>
    <i r="1">
      <x v="1"/>
    </i>
    <i r="1">
      <x v="7"/>
    </i>
    <i r="1">
      <x v="31"/>
    </i>
    <i>
      <x v="5"/>
    </i>
    <i r="1">
      <x v="8"/>
    </i>
    <i r="1">
      <x v="11"/>
    </i>
    <i r="1">
      <x v="15"/>
    </i>
    <i r="1">
      <x v="22"/>
    </i>
    <i r="1">
      <x v="26"/>
    </i>
    <i r="1">
      <x v="32"/>
    </i>
    <i r="1">
      <x v="33"/>
    </i>
    <i>
      <x v="6"/>
    </i>
    <i r="1">
      <x/>
    </i>
    <i r="1">
      <x v="2"/>
    </i>
    <i r="1">
      <x v="13"/>
    </i>
    <i r="1">
      <x v="16"/>
    </i>
    <i r="1">
      <x v="27"/>
    </i>
    <i>
      <x v="7"/>
    </i>
    <i r="1">
      <x v="23"/>
    </i>
    <i>
      <x v="8"/>
    </i>
    <i r="1">
      <x v="14"/>
    </i>
    <i>
      <x v="9"/>
    </i>
    <i r="1">
      <x v="9"/>
    </i>
    <i/>
    <i r="1"/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130" activePane="bottomLeft" state="frozen"/>
      <selection pane="topLeft" activeCell="A1" activeCellId="0" sqref="A1"/>
      <selection pane="bottomLeft" activeCell="H133" activeCellId="0" sqref="H133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1" width="28.91"/>
    <col collapsed="false" customWidth="true" hidden="false" outlineLevel="0" max="3" min="3" style="2" width="8.27"/>
    <col collapsed="false" customWidth="true" hidden="false" outlineLevel="0" max="4" min="4" style="2" width="30.63"/>
    <col collapsed="false" customWidth="true" hidden="false" outlineLevel="0" max="6" min="5" style="2" width="8.73"/>
    <col collapsed="false" customWidth="true" hidden="false" outlineLevel="0" max="7" min="7" style="2" width="12"/>
    <col collapsed="false" customWidth="true" hidden="false" outlineLevel="0" max="10" min="8" style="1" width="12"/>
    <col collapsed="false" customWidth="true" hidden="false" outlineLevel="0" max="11" min="11" style="1" width="9.36"/>
    <col collapsed="false" customWidth="true" hidden="false" outlineLevel="0" max="13" min="13" style="1" width="10.82"/>
    <col collapsed="false" customWidth="true" hidden="false" outlineLevel="0" max="14" min="14" style="1" width="9.18"/>
  </cols>
  <sheetData>
    <row r="1" customFormat="false" ht="49.9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4" t="s">
        <v>10</v>
      </c>
      <c r="L1" s="6" t="s">
        <v>11</v>
      </c>
      <c r="M1" s="4" t="s">
        <v>12</v>
      </c>
      <c r="N1" s="3" t="s">
        <v>13</v>
      </c>
      <c r="O1" s="7" t="s">
        <v>14</v>
      </c>
      <c r="P1" s="7" t="s">
        <v>14</v>
      </c>
      <c r="Q1" s="7" t="s">
        <v>14</v>
      </c>
      <c r="R1" s="7" t="s">
        <v>14</v>
      </c>
      <c r="S1" s="7" t="s">
        <v>15</v>
      </c>
    </row>
    <row r="2" customFormat="false" ht="14.25" hidden="false" customHeight="false" outlineLevel="0" collapsed="false">
      <c r="A2" s="8" t="n">
        <v>1</v>
      </c>
      <c r="B2" s="9" t="s">
        <v>16</v>
      </c>
      <c r="C2" s="10" t="n">
        <v>25</v>
      </c>
      <c r="D2" s="10" t="s">
        <v>17</v>
      </c>
      <c r="E2" s="10" t="s">
        <v>18</v>
      </c>
      <c r="F2" s="10"/>
      <c r="G2" s="8" t="n">
        <v>1630</v>
      </c>
      <c r="H2" s="11" t="n">
        <v>14.63</v>
      </c>
      <c r="I2" s="8"/>
      <c r="J2" s="8"/>
      <c r="K2" s="11" t="n">
        <v>16.66</v>
      </c>
      <c r="L2" s="12"/>
      <c r="M2" s="8" t="n">
        <v>35</v>
      </c>
      <c r="N2" s="8" t="n">
        <v>35</v>
      </c>
      <c r="O2" s="12"/>
      <c r="P2" s="12"/>
      <c r="Q2" s="12"/>
      <c r="R2" s="12"/>
      <c r="S2" s="12" t="n">
        <f aca="false">K2*F2</f>
        <v>0</v>
      </c>
    </row>
    <row r="3" customFormat="false" ht="14.25" hidden="false" customHeight="false" outlineLevel="0" collapsed="false">
      <c r="A3" s="8" t="n">
        <v>2</v>
      </c>
      <c r="B3" s="9" t="s">
        <v>19</v>
      </c>
      <c r="C3" s="10" t="n">
        <v>25</v>
      </c>
      <c r="D3" s="10" t="s">
        <v>17</v>
      </c>
      <c r="E3" s="10" t="s">
        <v>18</v>
      </c>
      <c r="F3" s="10"/>
      <c r="G3" s="8" t="n">
        <v>1630</v>
      </c>
      <c r="H3" s="11" t="n">
        <v>14.63</v>
      </c>
      <c r="I3" s="8"/>
      <c r="J3" s="8"/>
      <c r="K3" s="11" t="n">
        <v>16.66</v>
      </c>
      <c r="L3" s="12"/>
      <c r="M3" s="8" t="n">
        <v>35</v>
      </c>
      <c r="N3" s="8" t="n">
        <v>35</v>
      </c>
      <c r="O3" s="12"/>
      <c r="P3" s="12"/>
      <c r="Q3" s="12"/>
      <c r="R3" s="12"/>
      <c r="S3" s="12" t="n">
        <f aca="false">K3*F3</f>
        <v>0</v>
      </c>
    </row>
    <row r="4" customFormat="false" ht="14.25" hidden="false" customHeight="false" outlineLevel="0" collapsed="false">
      <c r="A4" s="8" t="n">
        <v>3</v>
      </c>
      <c r="B4" s="9" t="s">
        <v>20</v>
      </c>
      <c r="C4" s="10" t="n">
        <v>25</v>
      </c>
      <c r="D4" s="10" t="s">
        <v>17</v>
      </c>
      <c r="E4" s="10" t="s">
        <v>18</v>
      </c>
      <c r="F4" s="10"/>
      <c r="G4" s="8" t="n">
        <v>1630</v>
      </c>
      <c r="H4" s="11" t="n">
        <v>14.63</v>
      </c>
      <c r="I4" s="8"/>
      <c r="J4" s="8"/>
      <c r="K4" s="11" t="n">
        <v>16.66</v>
      </c>
      <c r="L4" s="12"/>
      <c r="M4" s="8" t="n">
        <v>35</v>
      </c>
      <c r="N4" s="8" t="n">
        <v>35</v>
      </c>
      <c r="O4" s="12"/>
      <c r="P4" s="12"/>
      <c r="Q4" s="12"/>
      <c r="R4" s="12"/>
      <c r="S4" s="12" t="n">
        <f aca="false">K4*F4</f>
        <v>0</v>
      </c>
    </row>
    <row r="5" customFormat="false" ht="14.25" hidden="false" customHeight="false" outlineLevel="0" collapsed="false">
      <c r="A5" s="8" t="n">
        <v>4</v>
      </c>
      <c r="B5" s="9" t="s">
        <v>21</v>
      </c>
      <c r="C5" s="10" t="n">
        <v>25</v>
      </c>
      <c r="D5" s="10" t="s">
        <v>17</v>
      </c>
      <c r="E5" s="10" t="s">
        <v>18</v>
      </c>
      <c r="F5" s="10"/>
      <c r="G5" s="8" t="n">
        <v>1630</v>
      </c>
      <c r="H5" s="11" t="n">
        <v>14.63</v>
      </c>
      <c r="I5" s="8"/>
      <c r="J5" s="8"/>
      <c r="K5" s="11" t="n">
        <v>16.66</v>
      </c>
      <c r="L5" s="12"/>
      <c r="M5" s="8" t="n">
        <v>35</v>
      </c>
      <c r="N5" s="8" t="n">
        <v>35</v>
      </c>
      <c r="O5" s="12"/>
      <c r="P5" s="12"/>
      <c r="Q5" s="12"/>
      <c r="R5" s="12"/>
      <c r="S5" s="12" t="n">
        <f aca="false">K5*F5</f>
        <v>0</v>
      </c>
    </row>
    <row r="6" customFormat="false" ht="14.25" hidden="false" customHeight="false" outlineLevel="0" collapsed="false">
      <c r="A6" s="8" t="n">
        <v>5</v>
      </c>
      <c r="B6" s="9" t="s">
        <v>22</v>
      </c>
      <c r="C6" s="10" t="n">
        <v>25</v>
      </c>
      <c r="D6" s="10" t="s">
        <v>17</v>
      </c>
      <c r="E6" s="10" t="s">
        <v>18</v>
      </c>
      <c r="F6" s="10"/>
      <c r="G6" s="8" t="n">
        <v>1630</v>
      </c>
      <c r="H6" s="11" t="n">
        <v>14.63</v>
      </c>
      <c r="I6" s="8"/>
      <c r="J6" s="8"/>
      <c r="K6" s="11" t="n">
        <v>16.66</v>
      </c>
      <c r="L6" s="12"/>
      <c r="M6" s="8" t="n">
        <v>35</v>
      </c>
      <c r="N6" s="8" t="n">
        <v>35</v>
      </c>
      <c r="O6" s="12"/>
      <c r="P6" s="12"/>
      <c r="Q6" s="12"/>
      <c r="R6" s="12"/>
      <c r="S6" s="12" t="n">
        <f aca="false">K6*F6</f>
        <v>0</v>
      </c>
    </row>
    <row r="7" customFormat="false" ht="14.25" hidden="false" customHeight="false" outlineLevel="0" collapsed="false">
      <c r="A7" s="8" t="n">
        <v>6</v>
      </c>
      <c r="B7" s="9" t="s">
        <v>23</v>
      </c>
      <c r="C7" s="10" t="n">
        <v>25</v>
      </c>
      <c r="D7" s="10" t="s">
        <v>17</v>
      </c>
      <c r="E7" s="10" t="s">
        <v>18</v>
      </c>
      <c r="F7" s="10"/>
      <c r="G7" s="8" t="n">
        <v>1630</v>
      </c>
      <c r="H7" s="11" t="n">
        <v>14.63</v>
      </c>
      <c r="I7" s="8"/>
      <c r="J7" s="8"/>
      <c r="K7" s="11" t="n">
        <v>16.66</v>
      </c>
      <c r="L7" s="12"/>
      <c r="M7" s="8" t="n">
        <v>35</v>
      </c>
      <c r="N7" s="8" t="n">
        <v>35</v>
      </c>
      <c r="O7" s="12"/>
      <c r="P7" s="12"/>
      <c r="Q7" s="12"/>
      <c r="R7" s="12"/>
      <c r="S7" s="12" t="n">
        <f aca="false">K7*F7</f>
        <v>0</v>
      </c>
    </row>
    <row r="8" customFormat="false" ht="14.25" hidden="false" customHeight="false" outlineLevel="0" collapsed="false">
      <c r="A8" s="8" t="n">
        <v>7</v>
      </c>
      <c r="B8" s="9" t="s">
        <v>24</v>
      </c>
      <c r="C8" s="10" t="n">
        <v>25</v>
      </c>
      <c r="D8" s="10" t="s">
        <v>17</v>
      </c>
      <c r="E8" s="10" t="s">
        <v>18</v>
      </c>
      <c r="F8" s="10"/>
      <c r="G8" s="8" t="n">
        <v>1630</v>
      </c>
      <c r="H8" s="11" t="n">
        <v>14.63</v>
      </c>
      <c r="I8" s="8"/>
      <c r="J8" s="8"/>
      <c r="K8" s="11" t="n">
        <v>16.66</v>
      </c>
      <c r="L8" s="12"/>
      <c r="M8" s="8" t="n">
        <v>35</v>
      </c>
      <c r="N8" s="8" t="n">
        <v>35</v>
      </c>
      <c r="O8" s="12"/>
      <c r="P8" s="12"/>
      <c r="Q8" s="12"/>
      <c r="R8" s="12"/>
      <c r="S8" s="12" t="n">
        <f aca="false">K8*F8</f>
        <v>0</v>
      </c>
    </row>
    <row r="9" customFormat="false" ht="14.25" hidden="false" customHeight="false" outlineLevel="0" collapsed="false">
      <c r="A9" s="8" t="n">
        <v>8</v>
      </c>
      <c r="B9" s="9" t="s">
        <v>25</v>
      </c>
      <c r="C9" s="10" t="n">
        <v>25</v>
      </c>
      <c r="D9" s="10" t="s">
        <v>17</v>
      </c>
      <c r="E9" s="10" t="s">
        <v>18</v>
      </c>
      <c r="F9" s="10"/>
      <c r="G9" s="8" t="n">
        <v>1630</v>
      </c>
      <c r="H9" s="11" t="n">
        <v>14.63</v>
      </c>
      <c r="I9" s="8"/>
      <c r="J9" s="8"/>
      <c r="K9" s="11" t="n">
        <v>16.66</v>
      </c>
      <c r="L9" s="12"/>
      <c r="M9" s="8" t="n">
        <v>35</v>
      </c>
      <c r="N9" s="8" t="n">
        <v>35</v>
      </c>
      <c r="O9" s="12"/>
      <c r="P9" s="12"/>
      <c r="Q9" s="12"/>
      <c r="R9" s="12"/>
      <c r="S9" s="12" t="n">
        <f aca="false">K9*F9</f>
        <v>0</v>
      </c>
    </row>
    <row r="10" customFormat="false" ht="14.25" hidden="false" customHeight="false" outlineLevel="0" collapsed="false">
      <c r="A10" s="8" t="n">
        <v>9</v>
      </c>
      <c r="B10" s="9" t="s">
        <v>26</v>
      </c>
      <c r="C10" s="10" t="n">
        <v>25</v>
      </c>
      <c r="D10" s="10" t="s">
        <v>17</v>
      </c>
      <c r="E10" s="10" t="s">
        <v>18</v>
      </c>
      <c r="F10" s="10"/>
      <c r="G10" s="8" t="n">
        <v>1630</v>
      </c>
      <c r="H10" s="11" t="n">
        <v>14.63</v>
      </c>
      <c r="I10" s="8"/>
      <c r="J10" s="8"/>
      <c r="K10" s="11" t="n">
        <v>16.66</v>
      </c>
      <c r="L10" s="12"/>
      <c r="M10" s="8" t="n">
        <v>35</v>
      </c>
      <c r="N10" s="8" t="n">
        <v>35</v>
      </c>
      <c r="O10" s="12"/>
      <c r="P10" s="12"/>
      <c r="Q10" s="12"/>
      <c r="R10" s="12"/>
      <c r="S10" s="12" t="n">
        <f aca="false">K10*F10</f>
        <v>0</v>
      </c>
    </row>
    <row r="11" customFormat="false" ht="14.25" hidden="false" customHeight="false" outlineLevel="0" collapsed="false">
      <c r="A11" s="8" t="n">
        <v>10</v>
      </c>
      <c r="B11" s="9" t="s">
        <v>27</v>
      </c>
      <c r="C11" s="10" t="n">
        <v>25</v>
      </c>
      <c r="D11" s="10" t="s">
        <v>17</v>
      </c>
      <c r="E11" s="10" t="s">
        <v>18</v>
      </c>
      <c r="F11" s="10"/>
      <c r="G11" s="8" t="n">
        <v>1630</v>
      </c>
      <c r="H11" s="11" t="n">
        <v>14.63</v>
      </c>
      <c r="I11" s="8"/>
      <c r="J11" s="8"/>
      <c r="K11" s="11" t="n">
        <v>16.66</v>
      </c>
      <c r="L11" s="12"/>
      <c r="M11" s="8" t="n">
        <v>35</v>
      </c>
      <c r="N11" s="8" t="n">
        <v>35</v>
      </c>
      <c r="O11" s="12"/>
      <c r="P11" s="12"/>
      <c r="Q11" s="12"/>
      <c r="R11" s="12"/>
      <c r="S11" s="12" t="n">
        <f aca="false">K11*F11</f>
        <v>0</v>
      </c>
    </row>
    <row r="12" customFormat="false" ht="14.25" hidden="false" customHeight="false" outlineLevel="0" collapsed="false">
      <c r="A12" s="8" t="n">
        <v>11</v>
      </c>
      <c r="B12" s="9" t="s">
        <v>28</v>
      </c>
      <c r="C12" s="10" t="n">
        <v>25</v>
      </c>
      <c r="D12" s="10" t="s">
        <v>17</v>
      </c>
      <c r="E12" s="10" t="s">
        <v>18</v>
      </c>
      <c r="F12" s="10"/>
      <c r="G12" s="8" t="n">
        <v>1630</v>
      </c>
      <c r="H12" s="11" t="n">
        <v>14.63</v>
      </c>
      <c r="I12" s="8"/>
      <c r="J12" s="8"/>
      <c r="K12" s="11" t="n">
        <v>16.66</v>
      </c>
      <c r="L12" s="12"/>
      <c r="M12" s="8" t="n">
        <v>35</v>
      </c>
      <c r="N12" s="8" t="n">
        <v>35</v>
      </c>
      <c r="O12" s="12"/>
      <c r="P12" s="12"/>
      <c r="Q12" s="12"/>
      <c r="R12" s="12"/>
      <c r="S12" s="12" t="n">
        <f aca="false">K12*F12</f>
        <v>0</v>
      </c>
    </row>
    <row r="13" customFormat="false" ht="14.25" hidden="false" customHeight="false" outlineLevel="0" collapsed="false">
      <c r="A13" s="8" t="n">
        <v>12</v>
      </c>
      <c r="B13" s="9" t="s">
        <v>29</v>
      </c>
      <c r="C13" s="10" t="n">
        <v>25</v>
      </c>
      <c r="D13" s="10" t="s">
        <v>17</v>
      </c>
      <c r="E13" s="10" t="s">
        <v>18</v>
      </c>
      <c r="F13" s="10"/>
      <c r="G13" s="8" t="n">
        <v>1630</v>
      </c>
      <c r="H13" s="11" t="n">
        <v>14.63</v>
      </c>
      <c r="I13" s="8"/>
      <c r="J13" s="8"/>
      <c r="K13" s="11" t="n">
        <v>16.66</v>
      </c>
      <c r="L13" s="12"/>
      <c r="M13" s="8" t="n">
        <v>35</v>
      </c>
      <c r="N13" s="8" t="n">
        <v>35</v>
      </c>
      <c r="O13" s="12"/>
      <c r="P13" s="12"/>
      <c r="Q13" s="12"/>
      <c r="R13" s="12"/>
      <c r="S13" s="12" t="n">
        <f aca="false">K13*F13</f>
        <v>0</v>
      </c>
    </row>
    <row r="14" customFormat="false" ht="14.25" hidden="false" customHeight="false" outlineLevel="0" collapsed="false">
      <c r="A14" s="8" t="n">
        <v>13</v>
      </c>
      <c r="B14" s="9" t="s">
        <v>30</v>
      </c>
      <c r="C14" s="10" t="n">
        <v>25</v>
      </c>
      <c r="D14" s="10" t="s">
        <v>17</v>
      </c>
      <c r="E14" s="10" t="s">
        <v>18</v>
      </c>
      <c r="F14" s="10"/>
      <c r="G14" s="8" t="n">
        <v>1630</v>
      </c>
      <c r="H14" s="11" t="n">
        <v>14.63</v>
      </c>
      <c r="I14" s="8"/>
      <c r="J14" s="8"/>
      <c r="K14" s="11" t="n">
        <v>16.66</v>
      </c>
      <c r="L14" s="12"/>
      <c r="M14" s="8" t="n">
        <v>35</v>
      </c>
      <c r="N14" s="8" t="n">
        <v>35</v>
      </c>
      <c r="O14" s="12"/>
      <c r="P14" s="12"/>
      <c r="Q14" s="12"/>
      <c r="R14" s="12"/>
      <c r="S14" s="12" t="n">
        <f aca="false">K14*F14</f>
        <v>0</v>
      </c>
    </row>
    <row r="15" s="1" customFormat="true" ht="14.25" hidden="false" customHeight="false" outlineLevel="0" collapsed="false">
      <c r="A15" s="8" t="n">
        <v>14</v>
      </c>
      <c r="B15" s="9" t="s">
        <v>31</v>
      </c>
      <c r="C15" s="10" t="n">
        <v>25</v>
      </c>
      <c r="D15" s="10" t="s">
        <v>17</v>
      </c>
      <c r="E15" s="10" t="s">
        <v>18</v>
      </c>
      <c r="F15" s="10"/>
      <c r="G15" s="8" t="n">
        <v>1630</v>
      </c>
      <c r="H15" s="11" t="n">
        <v>14.63</v>
      </c>
      <c r="I15" s="8"/>
      <c r="J15" s="8"/>
      <c r="K15" s="11" t="n">
        <v>16.66</v>
      </c>
      <c r="L15" s="12"/>
      <c r="M15" s="8" t="n">
        <v>35</v>
      </c>
      <c r="N15" s="8" t="n">
        <v>35</v>
      </c>
      <c r="O15" s="12"/>
      <c r="P15" s="12"/>
      <c r="Q15" s="12"/>
      <c r="R15" s="12"/>
      <c r="S15" s="12" t="n">
        <f aca="false">K15*F15</f>
        <v>0</v>
      </c>
    </row>
    <row r="16" customFormat="false" ht="14.25" hidden="false" customHeight="false" outlineLevel="0" collapsed="false">
      <c r="A16" s="8" t="n">
        <v>1</v>
      </c>
      <c r="B16" s="9" t="s">
        <v>32</v>
      </c>
      <c r="C16" s="10" t="n">
        <v>50</v>
      </c>
      <c r="D16" s="10" t="s">
        <v>17</v>
      </c>
      <c r="E16" s="10" t="s">
        <v>18</v>
      </c>
      <c r="F16" s="10"/>
      <c r="G16" s="8" t="n">
        <v>1630</v>
      </c>
      <c r="H16" s="8" t="n">
        <v>20.95</v>
      </c>
      <c r="I16" s="8"/>
      <c r="J16" s="8"/>
      <c r="K16" s="8" t="n">
        <v>23.8</v>
      </c>
      <c r="L16" s="12"/>
      <c r="M16" s="8" t="n">
        <v>50</v>
      </c>
      <c r="N16" s="8" t="n">
        <v>50</v>
      </c>
      <c r="O16" s="12"/>
      <c r="P16" s="12"/>
      <c r="Q16" s="12"/>
      <c r="R16" s="12"/>
      <c r="S16" s="12" t="n">
        <f aca="false">K16*F16</f>
        <v>0</v>
      </c>
    </row>
    <row r="17" customFormat="false" ht="14.25" hidden="false" customHeight="false" outlineLevel="0" collapsed="false">
      <c r="A17" s="8" t="n">
        <v>2</v>
      </c>
      <c r="B17" s="9" t="s">
        <v>33</v>
      </c>
      <c r="C17" s="10" t="n">
        <v>50</v>
      </c>
      <c r="D17" s="10" t="s">
        <v>17</v>
      </c>
      <c r="E17" s="10" t="s">
        <v>18</v>
      </c>
      <c r="F17" s="10"/>
      <c r="G17" s="8" t="n">
        <v>1630</v>
      </c>
      <c r="H17" s="8" t="n">
        <v>20.95</v>
      </c>
      <c r="I17" s="8"/>
      <c r="J17" s="8"/>
      <c r="K17" s="8" t="n">
        <v>23.8</v>
      </c>
      <c r="L17" s="12"/>
      <c r="M17" s="8" t="n">
        <v>50</v>
      </c>
      <c r="N17" s="8" t="n">
        <v>50</v>
      </c>
      <c r="O17" s="12"/>
      <c r="P17" s="12"/>
      <c r="Q17" s="12"/>
      <c r="R17" s="12"/>
      <c r="S17" s="12" t="n">
        <f aca="false">K17*F17</f>
        <v>0</v>
      </c>
    </row>
    <row r="18" customFormat="false" ht="14.25" hidden="false" customHeight="false" outlineLevel="0" collapsed="false">
      <c r="A18" s="8" t="n">
        <v>3</v>
      </c>
      <c r="B18" s="9" t="s">
        <v>34</v>
      </c>
      <c r="C18" s="10" t="n">
        <v>50</v>
      </c>
      <c r="D18" s="10" t="s">
        <v>17</v>
      </c>
      <c r="E18" s="10" t="s">
        <v>18</v>
      </c>
      <c r="F18" s="10"/>
      <c r="G18" s="8" t="n">
        <v>1630</v>
      </c>
      <c r="H18" s="8" t="n">
        <v>20.95</v>
      </c>
      <c r="I18" s="8"/>
      <c r="J18" s="8"/>
      <c r="K18" s="8" t="n">
        <v>23.8</v>
      </c>
      <c r="L18" s="12"/>
      <c r="M18" s="8" t="n">
        <v>50</v>
      </c>
      <c r="N18" s="8" t="n">
        <v>50</v>
      </c>
      <c r="O18" s="12"/>
      <c r="P18" s="12"/>
      <c r="Q18" s="12"/>
      <c r="R18" s="12"/>
      <c r="S18" s="12" t="n">
        <f aca="false">K18*F18</f>
        <v>0</v>
      </c>
    </row>
    <row r="19" customFormat="false" ht="14.25" hidden="false" customHeight="false" outlineLevel="0" collapsed="false">
      <c r="A19" s="8" t="n">
        <v>4</v>
      </c>
      <c r="B19" s="9" t="s">
        <v>35</v>
      </c>
      <c r="C19" s="10" t="n">
        <v>50</v>
      </c>
      <c r="D19" s="10" t="s">
        <v>17</v>
      </c>
      <c r="E19" s="10" t="s">
        <v>18</v>
      </c>
      <c r="F19" s="10"/>
      <c r="G19" s="8" t="n">
        <v>1630</v>
      </c>
      <c r="H19" s="8" t="n">
        <v>20.95</v>
      </c>
      <c r="I19" s="8"/>
      <c r="J19" s="8"/>
      <c r="K19" s="8" t="n">
        <v>23.8</v>
      </c>
      <c r="L19" s="12"/>
      <c r="M19" s="8" t="n">
        <v>50</v>
      </c>
      <c r="N19" s="8" t="n">
        <v>50</v>
      </c>
      <c r="O19" s="12"/>
      <c r="P19" s="12"/>
      <c r="Q19" s="12"/>
      <c r="R19" s="12"/>
      <c r="S19" s="12" t="n">
        <f aca="false">K19*F19</f>
        <v>0</v>
      </c>
    </row>
    <row r="20" customFormat="false" ht="14.25" hidden="false" customHeight="false" outlineLevel="0" collapsed="false">
      <c r="A20" s="8" t="n">
        <v>5</v>
      </c>
      <c r="B20" s="9" t="s">
        <v>36</v>
      </c>
      <c r="C20" s="10" t="n">
        <v>50</v>
      </c>
      <c r="D20" s="10" t="s">
        <v>17</v>
      </c>
      <c r="E20" s="10" t="s">
        <v>18</v>
      </c>
      <c r="F20" s="10"/>
      <c r="G20" s="8" t="n">
        <v>1630</v>
      </c>
      <c r="H20" s="8" t="n">
        <v>20.95</v>
      </c>
      <c r="I20" s="8"/>
      <c r="J20" s="8"/>
      <c r="K20" s="8" t="n">
        <v>23.8</v>
      </c>
      <c r="L20" s="12"/>
      <c r="M20" s="8" t="n">
        <v>50</v>
      </c>
      <c r="N20" s="8" t="n">
        <v>50</v>
      </c>
      <c r="O20" s="12"/>
      <c r="P20" s="12"/>
      <c r="Q20" s="12"/>
      <c r="R20" s="12"/>
      <c r="S20" s="12" t="n">
        <f aca="false">K20*F20</f>
        <v>0</v>
      </c>
    </row>
    <row r="21" customFormat="false" ht="14.25" hidden="false" customHeight="false" outlineLevel="0" collapsed="false">
      <c r="A21" s="8" t="n">
        <v>6</v>
      </c>
      <c r="B21" s="9" t="s">
        <v>37</v>
      </c>
      <c r="C21" s="10" t="n">
        <v>50</v>
      </c>
      <c r="D21" s="10" t="s">
        <v>17</v>
      </c>
      <c r="E21" s="10" t="s">
        <v>18</v>
      </c>
      <c r="F21" s="10"/>
      <c r="G21" s="8" t="n">
        <v>1630</v>
      </c>
      <c r="H21" s="8" t="n">
        <v>20.95</v>
      </c>
      <c r="I21" s="8"/>
      <c r="J21" s="8"/>
      <c r="K21" s="8" t="n">
        <v>23.8</v>
      </c>
      <c r="L21" s="12"/>
      <c r="M21" s="8" t="n">
        <v>50</v>
      </c>
      <c r="N21" s="8" t="n">
        <v>50</v>
      </c>
      <c r="O21" s="12"/>
      <c r="P21" s="12"/>
      <c r="Q21" s="12"/>
      <c r="R21" s="12"/>
      <c r="S21" s="12" t="n">
        <f aca="false">K21*F21</f>
        <v>0</v>
      </c>
    </row>
    <row r="22" customFormat="false" ht="14.25" hidden="false" customHeight="false" outlineLevel="0" collapsed="false">
      <c r="A22" s="8" t="n">
        <v>7</v>
      </c>
      <c r="B22" s="9" t="s">
        <v>38</v>
      </c>
      <c r="C22" s="10" t="n">
        <v>50</v>
      </c>
      <c r="D22" s="10" t="s">
        <v>17</v>
      </c>
      <c r="E22" s="10" t="s">
        <v>18</v>
      </c>
      <c r="F22" s="10"/>
      <c r="G22" s="8" t="n">
        <v>1630</v>
      </c>
      <c r="H22" s="8" t="n">
        <v>20.95</v>
      </c>
      <c r="I22" s="8"/>
      <c r="J22" s="8"/>
      <c r="K22" s="8" t="n">
        <v>23.8</v>
      </c>
      <c r="L22" s="12"/>
      <c r="M22" s="8" t="n">
        <v>50</v>
      </c>
      <c r="N22" s="8" t="n">
        <v>50</v>
      </c>
      <c r="O22" s="12"/>
      <c r="P22" s="12"/>
      <c r="Q22" s="12"/>
      <c r="R22" s="12"/>
      <c r="S22" s="12" t="n">
        <f aca="false">K22*F22</f>
        <v>0</v>
      </c>
    </row>
    <row r="23" customFormat="false" ht="14.25" hidden="false" customHeight="false" outlineLevel="0" collapsed="false">
      <c r="A23" s="8" t="n">
        <v>8</v>
      </c>
      <c r="B23" s="9" t="s">
        <v>39</v>
      </c>
      <c r="C23" s="10" t="n">
        <v>50</v>
      </c>
      <c r="D23" s="10" t="s">
        <v>17</v>
      </c>
      <c r="E23" s="10" t="s">
        <v>18</v>
      </c>
      <c r="F23" s="10"/>
      <c r="G23" s="8" t="n">
        <v>1630</v>
      </c>
      <c r="H23" s="8" t="n">
        <v>20.95</v>
      </c>
      <c r="I23" s="8"/>
      <c r="J23" s="8"/>
      <c r="K23" s="8" t="n">
        <v>23.8</v>
      </c>
      <c r="L23" s="12"/>
      <c r="M23" s="8" t="n">
        <v>50</v>
      </c>
      <c r="N23" s="8" t="n">
        <v>50</v>
      </c>
      <c r="O23" s="12"/>
      <c r="P23" s="12"/>
      <c r="Q23" s="12"/>
      <c r="R23" s="12"/>
      <c r="S23" s="12" t="n">
        <f aca="false">K23*F23</f>
        <v>0</v>
      </c>
    </row>
    <row r="24" customFormat="false" ht="14.25" hidden="false" customHeight="false" outlineLevel="0" collapsed="false">
      <c r="A24" s="8" t="n">
        <v>9</v>
      </c>
      <c r="B24" s="9" t="s">
        <v>40</v>
      </c>
      <c r="C24" s="10" t="n">
        <v>50</v>
      </c>
      <c r="D24" s="10" t="s">
        <v>17</v>
      </c>
      <c r="E24" s="10" t="s">
        <v>18</v>
      </c>
      <c r="F24" s="10"/>
      <c r="G24" s="8" t="n">
        <v>1630</v>
      </c>
      <c r="H24" s="8" t="n">
        <v>20.95</v>
      </c>
      <c r="I24" s="8"/>
      <c r="J24" s="8"/>
      <c r="K24" s="8" t="n">
        <v>23.8</v>
      </c>
      <c r="L24" s="12"/>
      <c r="M24" s="8" t="n">
        <v>50</v>
      </c>
      <c r="N24" s="8" t="n">
        <v>50</v>
      </c>
      <c r="O24" s="12"/>
      <c r="P24" s="12"/>
      <c r="Q24" s="12"/>
      <c r="R24" s="12"/>
      <c r="S24" s="12" t="n">
        <f aca="false">K24*F24</f>
        <v>0</v>
      </c>
    </row>
    <row r="25" customFormat="false" ht="14.25" hidden="false" customHeight="false" outlineLevel="0" collapsed="false">
      <c r="A25" s="8" t="n">
        <v>10</v>
      </c>
      <c r="B25" s="9" t="s">
        <v>41</v>
      </c>
      <c r="C25" s="10" t="n">
        <v>50</v>
      </c>
      <c r="D25" s="10" t="s">
        <v>17</v>
      </c>
      <c r="E25" s="10" t="s">
        <v>18</v>
      </c>
      <c r="F25" s="10"/>
      <c r="G25" s="8" t="n">
        <v>1630</v>
      </c>
      <c r="H25" s="8" t="n">
        <v>20.95</v>
      </c>
      <c r="I25" s="8"/>
      <c r="J25" s="8"/>
      <c r="K25" s="8" t="n">
        <v>23.8</v>
      </c>
      <c r="L25" s="12"/>
      <c r="M25" s="8" t="n">
        <v>50</v>
      </c>
      <c r="N25" s="8" t="n">
        <v>50</v>
      </c>
      <c r="O25" s="12"/>
      <c r="P25" s="12"/>
      <c r="Q25" s="12"/>
      <c r="R25" s="12"/>
      <c r="S25" s="12" t="n">
        <f aca="false">K25*F25</f>
        <v>0</v>
      </c>
    </row>
    <row r="26" customFormat="false" ht="14.25" hidden="false" customHeight="false" outlineLevel="0" collapsed="false">
      <c r="A26" s="8" t="n">
        <v>11</v>
      </c>
      <c r="B26" s="9" t="s">
        <v>42</v>
      </c>
      <c r="C26" s="10" t="n">
        <v>50</v>
      </c>
      <c r="D26" s="10" t="s">
        <v>17</v>
      </c>
      <c r="E26" s="10" t="s">
        <v>18</v>
      </c>
      <c r="F26" s="10"/>
      <c r="G26" s="8" t="n">
        <v>1630</v>
      </c>
      <c r="H26" s="8" t="n">
        <v>20.95</v>
      </c>
      <c r="I26" s="8"/>
      <c r="J26" s="8"/>
      <c r="K26" s="8" t="n">
        <v>23.8</v>
      </c>
      <c r="L26" s="12"/>
      <c r="M26" s="8" t="n">
        <v>50</v>
      </c>
      <c r="N26" s="8" t="n">
        <v>50</v>
      </c>
      <c r="O26" s="12"/>
      <c r="P26" s="12"/>
      <c r="Q26" s="12"/>
      <c r="R26" s="12"/>
      <c r="S26" s="12" t="n">
        <f aca="false">K26*F26</f>
        <v>0</v>
      </c>
    </row>
    <row r="27" customFormat="false" ht="14.25" hidden="false" customHeight="false" outlineLevel="0" collapsed="false">
      <c r="A27" s="8" t="n">
        <v>12</v>
      </c>
      <c r="B27" s="9" t="s">
        <v>43</v>
      </c>
      <c r="C27" s="10" t="n">
        <v>50</v>
      </c>
      <c r="D27" s="10" t="s">
        <v>17</v>
      </c>
      <c r="E27" s="10" t="s">
        <v>18</v>
      </c>
      <c r="F27" s="10"/>
      <c r="G27" s="8" t="n">
        <v>1630</v>
      </c>
      <c r="H27" s="8" t="n">
        <v>20.95</v>
      </c>
      <c r="I27" s="8"/>
      <c r="J27" s="8"/>
      <c r="K27" s="8" t="n">
        <v>23.8</v>
      </c>
      <c r="L27" s="12"/>
      <c r="M27" s="8" t="n">
        <v>50</v>
      </c>
      <c r="N27" s="8" t="n">
        <v>50</v>
      </c>
      <c r="O27" s="12"/>
      <c r="P27" s="12"/>
      <c r="Q27" s="12"/>
      <c r="R27" s="12"/>
      <c r="S27" s="12" t="n">
        <f aca="false">K27*F27</f>
        <v>0</v>
      </c>
    </row>
    <row r="28" customFormat="false" ht="14.25" hidden="false" customHeight="false" outlineLevel="0" collapsed="false">
      <c r="A28" s="8" t="n">
        <v>13</v>
      </c>
      <c r="B28" s="9" t="s">
        <v>44</v>
      </c>
      <c r="C28" s="10" t="n">
        <v>50</v>
      </c>
      <c r="D28" s="10" t="s">
        <v>17</v>
      </c>
      <c r="E28" s="10" t="s">
        <v>18</v>
      </c>
      <c r="F28" s="10"/>
      <c r="G28" s="8" t="n">
        <v>1630</v>
      </c>
      <c r="H28" s="8" t="n">
        <v>20.95</v>
      </c>
      <c r="I28" s="8"/>
      <c r="J28" s="8"/>
      <c r="K28" s="8" t="n">
        <v>23.8</v>
      </c>
      <c r="L28" s="12"/>
      <c r="M28" s="8" t="n">
        <v>50</v>
      </c>
      <c r="N28" s="8" t="n">
        <v>50</v>
      </c>
      <c r="O28" s="12"/>
      <c r="P28" s="12"/>
      <c r="Q28" s="12"/>
      <c r="R28" s="12"/>
      <c r="S28" s="12" t="n">
        <f aca="false">K28*F28</f>
        <v>0</v>
      </c>
    </row>
    <row r="29" customFormat="false" ht="14.25" hidden="false" customHeight="false" outlineLevel="0" collapsed="false">
      <c r="A29" s="8" t="n">
        <v>14</v>
      </c>
      <c r="B29" s="9" t="s">
        <v>45</v>
      </c>
      <c r="C29" s="10" t="n">
        <v>50</v>
      </c>
      <c r="D29" s="10" t="s">
        <v>17</v>
      </c>
      <c r="E29" s="10" t="s">
        <v>18</v>
      </c>
      <c r="F29" s="10"/>
      <c r="G29" s="8" t="n">
        <v>1630</v>
      </c>
      <c r="H29" s="8" t="n">
        <v>20.95</v>
      </c>
      <c r="I29" s="8"/>
      <c r="J29" s="8"/>
      <c r="K29" s="8" t="n">
        <v>23.8</v>
      </c>
      <c r="L29" s="12"/>
      <c r="M29" s="8" t="n">
        <v>50</v>
      </c>
      <c r="N29" s="8" t="n">
        <v>50</v>
      </c>
      <c r="O29" s="12"/>
      <c r="P29" s="12"/>
      <c r="Q29" s="12"/>
      <c r="R29" s="12"/>
      <c r="S29" s="12" t="n">
        <f aca="false">K29*F29</f>
        <v>0</v>
      </c>
    </row>
    <row r="30" customFormat="false" ht="14.25" hidden="false" customHeight="false" outlineLevel="0" collapsed="false">
      <c r="A30" s="8" t="n">
        <v>15</v>
      </c>
      <c r="B30" s="9" t="s">
        <v>46</v>
      </c>
      <c r="C30" s="10" t="n">
        <v>25</v>
      </c>
      <c r="D30" s="10" t="s">
        <v>47</v>
      </c>
      <c r="E30" s="10" t="s">
        <v>47</v>
      </c>
      <c r="F30" s="10"/>
      <c r="G30" s="8" t="n">
        <v>1550</v>
      </c>
      <c r="H30" s="8" t="n">
        <v>23.8</v>
      </c>
      <c r="I30" s="8"/>
      <c r="J30" s="8"/>
      <c r="K30" s="8" t="n">
        <v>35.71</v>
      </c>
      <c r="L30" s="12"/>
      <c r="M30" s="8" t="n">
        <v>75</v>
      </c>
      <c r="N30" s="8" t="n">
        <v>75</v>
      </c>
      <c r="O30" s="12"/>
      <c r="P30" s="12"/>
      <c r="Q30" s="12"/>
      <c r="R30" s="12"/>
      <c r="S30" s="12" t="n">
        <f aca="false">K30*F30</f>
        <v>0</v>
      </c>
    </row>
    <row r="31" customFormat="false" ht="14.25" hidden="false" customHeight="false" outlineLevel="0" collapsed="false">
      <c r="A31" s="8" t="n">
        <v>16</v>
      </c>
      <c r="B31" s="9" t="s">
        <v>48</v>
      </c>
      <c r="C31" s="10" t="n">
        <v>25</v>
      </c>
      <c r="D31" s="10" t="s">
        <v>47</v>
      </c>
      <c r="E31" s="10" t="s">
        <v>47</v>
      </c>
      <c r="F31" s="10"/>
      <c r="G31" s="8" t="n">
        <v>1550</v>
      </c>
      <c r="H31" s="8" t="n">
        <v>23.8</v>
      </c>
      <c r="I31" s="8"/>
      <c r="J31" s="8"/>
      <c r="K31" s="8" t="n">
        <v>35.71</v>
      </c>
      <c r="L31" s="12"/>
      <c r="M31" s="8" t="n">
        <v>75</v>
      </c>
      <c r="N31" s="8" t="n">
        <v>75</v>
      </c>
      <c r="O31" s="12"/>
      <c r="P31" s="12"/>
      <c r="Q31" s="12"/>
      <c r="R31" s="12"/>
      <c r="S31" s="12" t="n">
        <f aca="false">K31*F31</f>
        <v>0</v>
      </c>
    </row>
    <row r="32" customFormat="false" ht="14.25" hidden="false" customHeight="false" outlineLevel="0" collapsed="false">
      <c r="A32" s="8" t="n">
        <v>17</v>
      </c>
      <c r="B32" s="9" t="s">
        <v>49</v>
      </c>
      <c r="C32" s="10" t="n">
        <v>25</v>
      </c>
      <c r="D32" s="10" t="s">
        <v>47</v>
      </c>
      <c r="E32" s="10" t="s">
        <v>47</v>
      </c>
      <c r="F32" s="10"/>
      <c r="G32" s="8" t="n">
        <v>1550</v>
      </c>
      <c r="H32" s="8" t="n">
        <v>34.04</v>
      </c>
      <c r="I32" s="8"/>
      <c r="J32" s="8"/>
      <c r="K32" s="8" t="n">
        <v>35.71</v>
      </c>
      <c r="L32" s="12"/>
      <c r="M32" s="8" t="n">
        <v>75</v>
      </c>
      <c r="N32" s="8" t="n">
        <v>75</v>
      </c>
      <c r="O32" s="12"/>
      <c r="P32" s="12"/>
      <c r="Q32" s="12"/>
      <c r="R32" s="12"/>
      <c r="S32" s="12" t="n">
        <f aca="false">K32*F32</f>
        <v>0</v>
      </c>
    </row>
    <row r="33" customFormat="false" ht="14.25" hidden="false" customHeight="false" outlineLevel="0" collapsed="false">
      <c r="A33" s="8" t="n">
        <v>18</v>
      </c>
      <c r="B33" s="9" t="s">
        <v>50</v>
      </c>
      <c r="C33" s="10" t="n">
        <v>25</v>
      </c>
      <c r="D33" s="10" t="s">
        <v>47</v>
      </c>
      <c r="E33" s="10" t="s">
        <v>47</v>
      </c>
      <c r="F33" s="10"/>
      <c r="G33" s="8" t="n">
        <v>1550</v>
      </c>
      <c r="H33" s="8" t="n">
        <v>34.04</v>
      </c>
      <c r="I33" s="8"/>
      <c r="J33" s="8"/>
      <c r="K33" s="8" t="n">
        <v>35.71</v>
      </c>
      <c r="L33" s="12"/>
      <c r="M33" s="8" t="n">
        <v>75</v>
      </c>
      <c r="N33" s="8" t="n">
        <v>75</v>
      </c>
      <c r="O33" s="12"/>
      <c r="P33" s="12"/>
      <c r="Q33" s="12"/>
      <c r="R33" s="12"/>
      <c r="S33" s="12" t="n">
        <f aca="false">K33*F33</f>
        <v>0</v>
      </c>
    </row>
    <row r="34" customFormat="false" ht="14.25" hidden="false" customHeight="false" outlineLevel="0" collapsed="false">
      <c r="A34" s="8"/>
      <c r="B34" s="9"/>
      <c r="C34" s="10"/>
      <c r="D34" s="10"/>
      <c r="E34" s="10"/>
      <c r="F34" s="10"/>
      <c r="G34" s="8"/>
      <c r="H34" s="12"/>
      <c r="I34" s="12"/>
      <c r="J34" s="12"/>
      <c r="K34" s="12"/>
      <c r="L34" s="12"/>
      <c r="M34" s="8"/>
      <c r="N34" s="8"/>
      <c r="O34" s="12"/>
      <c r="P34" s="12"/>
      <c r="Q34" s="12"/>
      <c r="R34" s="12"/>
      <c r="S34" s="12"/>
    </row>
    <row r="35" customFormat="false" ht="14.25" hidden="false" customHeight="false" outlineLevel="0" collapsed="false">
      <c r="A35" s="8" t="n">
        <v>1</v>
      </c>
      <c r="B35" s="9" t="s">
        <v>32</v>
      </c>
      <c r="C35" s="10" t="n">
        <v>250</v>
      </c>
      <c r="D35" s="8" t="s">
        <v>51</v>
      </c>
      <c r="E35" s="8" t="s">
        <v>51</v>
      </c>
      <c r="F35" s="8"/>
      <c r="G35" s="8" t="n">
        <v>1630</v>
      </c>
      <c r="H35" s="8" t="n">
        <v>71.43</v>
      </c>
      <c r="I35" s="8"/>
      <c r="J35" s="8"/>
      <c r="K35" s="8" t="n">
        <v>95.24</v>
      </c>
      <c r="L35" s="12"/>
      <c r="M35" s="8" t="n">
        <v>200</v>
      </c>
      <c r="N35" s="8" t="n">
        <v>200</v>
      </c>
      <c r="O35" s="12"/>
      <c r="P35" s="12"/>
      <c r="Q35" s="12"/>
      <c r="R35" s="12"/>
      <c r="S35" s="12" t="n">
        <f aca="false">K35*F35</f>
        <v>0</v>
      </c>
    </row>
    <row r="36" customFormat="false" ht="14.25" hidden="false" customHeight="false" outlineLevel="0" collapsed="false">
      <c r="A36" s="8" t="n">
        <v>2</v>
      </c>
      <c r="B36" s="9" t="s">
        <v>33</v>
      </c>
      <c r="C36" s="10" t="n">
        <v>250</v>
      </c>
      <c r="D36" s="8" t="s">
        <v>51</v>
      </c>
      <c r="E36" s="8" t="s">
        <v>51</v>
      </c>
      <c r="F36" s="8"/>
      <c r="G36" s="8" t="n">
        <v>1630</v>
      </c>
      <c r="H36" s="8" t="n">
        <v>71.43</v>
      </c>
      <c r="I36" s="8"/>
      <c r="J36" s="8"/>
      <c r="K36" s="8" t="n">
        <v>95.24</v>
      </c>
      <c r="L36" s="12"/>
      <c r="M36" s="8" t="n">
        <v>200</v>
      </c>
      <c r="N36" s="8" t="n">
        <v>200</v>
      </c>
      <c r="O36" s="12"/>
      <c r="P36" s="12"/>
      <c r="Q36" s="12"/>
      <c r="R36" s="12"/>
      <c r="S36" s="12" t="n">
        <f aca="false">K36*F36</f>
        <v>0</v>
      </c>
    </row>
    <row r="37" customFormat="false" ht="14.25" hidden="false" customHeight="false" outlineLevel="0" collapsed="false">
      <c r="A37" s="8" t="n">
        <v>3</v>
      </c>
      <c r="B37" s="9" t="s">
        <v>34</v>
      </c>
      <c r="C37" s="10" t="n">
        <v>250</v>
      </c>
      <c r="D37" s="8" t="s">
        <v>51</v>
      </c>
      <c r="E37" s="8" t="s">
        <v>51</v>
      </c>
      <c r="F37" s="8"/>
      <c r="G37" s="8" t="n">
        <v>1630</v>
      </c>
      <c r="H37" s="8" t="n">
        <v>71.43</v>
      </c>
      <c r="I37" s="8"/>
      <c r="J37" s="8"/>
      <c r="K37" s="8" t="n">
        <v>95.24</v>
      </c>
      <c r="L37" s="12"/>
      <c r="M37" s="8" t="n">
        <v>200</v>
      </c>
      <c r="N37" s="8" t="n">
        <v>200</v>
      </c>
      <c r="O37" s="12"/>
      <c r="P37" s="12"/>
      <c r="Q37" s="12"/>
      <c r="R37" s="12"/>
      <c r="S37" s="12" t="n">
        <f aca="false">K37*F37</f>
        <v>0</v>
      </c>
    </row>
    <row r="38" customFormat="false" ht="14.25" hidden="false" customHeight="false" outlineLevel="0" collapsed="false">
      <c r="A38" s="8" t="n">
        <v>4</v>
      </c>
      <c r="B38" s="9" t="s">
        <v>35</v>
      </c>
      <c r="C38" s="10" t="n">
        <v>250</v>
      </c>
      <c r="D38" s="8" t="s">
        <v>51</v>
      </c>
      <c r="E38" s="8" t="s">
        <v>51</v>
      </c>
      <c r="F38" s="8"/>
      <c r="G38" s="8" t="n">
        <v>1630</v>
      </c>
      <c r="H38" s="8" t="n">
        <v>71.43</v>
      </c>
      <c r="I38" s="8"/>
      <c r="J38" s="8"/>
      <c r="K38" s="8" t="n">
        <v>95.24</v>
      </c>
      <c r="L38" s="12"/>
      <c r="M38" s="8" t="n">
        <v>200</v>
      </c>
      <c r="N38" s="8" t="n">
        <v>200</v>
      </c>
      <c r="O38" s="12"/>
      <c r="P38" s="12"/>
      <c r="Q38" s="12"/>
      <c r="R38" s="12"/>
      <c r="S38" s="12" t="n">
        <f aca="false">K38*F38</f>
        <v>0</v>
      </c>
    </row>
    <row r="39" customFormat="false" ht="14.25" hidden="false" customHeight="false" outlineLevel="0" collapsed="false">
      <c r="A39" s="8" t="n">
        <v>5</v>
      </c>
      <c r="B39" s="9" t="s">
        <v>36</v>
      </c>
      <c r="C39" s="10" t="n">
        <v>250</v>
      </c>
      <c r="D39" s="8" t="s">
        <v>51</v>
      </c>
      <c r="E39" s="8" t="s">
        <v>51</v>
      </c>
      <c r="F39" s="8"/>
      <c r="G39" s="8" t="n">
        <v>1630</v>
      </c>
      <c r="H39" s="8" t="n">
        <v>71.43</v>
      </c>
      <c r="I39" s="8"/>
      <c r="J39" s="8"/>
      <c r="K39" s="8" t="n">
        <v>95.24</v>
      </c>
      <c r="L39" s="12"/>
      <c r="M39" s="8" t="n">
        <v>200</v>
      </c>
      <c r="N39" s="8" t="n">
        <v>200</v>
      </c>
      <c r="O39" s="12"/>
      <c r="P39" s="12"/>
      <c r="Q39" s="12"/>
      <c r="R39" s="12"/>
      <c r="S39" s="12" t="n">
        <f aca="false">K39*F39</f>
        <v>0</v>
      </c>
    </row>
    <row r="40" customFormat="false" ht="14.25" hidden="false" customHeight="false" outlineLevel="0" collapsed="false">
      <c r="A40" s="8" t="n">
        <v>6</v>
      </c>
      <c r="B40" s="9" t="s">
        <v>37</v>
      </c>
      <c r="C40" s="10" t="n">
        <v>250</v>
      </c>
      <c r="D40" s="8" t="s">
        <v>51</v>
      </c>
      <c r="E40" s="8" t="s">
        <v>51</v>
      </c>
      <c r="F40" s="8"/>
      <c r="G40" s="8" t="n">
        <v>1630</v>
      </c>
      <c r="H40" s="8" t="n">
        <v>71.43</v>
      </c>
      <c r="I40" s="8"/>
      <c r="J40" s="8"/>
      <c r="K40" s="8" t="n">
        <v>95.24</v>
      </c>
      <c r="L40" s="12"/>
      <c r="M40" s="8" t="n">
        <v>200</v>
      </c>
      <c r="N40" s="8" t="n">
        <v>200</v>
      </c>
      <c r="O40" s="12"/>
      <c r="P40" s="12"/>
      <c r="Q40" s="12"/>
      <c r="R40" s="12"/>
      <c r="S40" s="12" t="n">
        <f aca="false">K40*F40</f>
        <v>0</v>
      </c>
    </row>
    <row r="41" customFormat="false" ht="14.25" hidden="false" customHeight="false" outlineLevel="0" collapsed="false">
      <c r="A41" s="8" t="n">
        <v>7</v>
      </c>
      <c r="B41" s="9" t="s">
        <v>38</v>
      </c>
      <c r="C41" s="10" t="n">
        <v>250</v>
      </c>
      <c r="D41" s="8" t="s">
        <v>51</v>
      </c>
      <c r="E41" s="8" t="s">
        <v>51</v>
      </c>
      <c r="F41" s="8"/>
      <c r="G41" s="8" t="n">
        <v>1630</v>
      </c>
      <c r="H41" s="8" t="n">
        <v>71.43</v>
      </c>
      <c r="I41" s="8"/>
      <c r="J41" s="8"/>
      <c r="K41" s="8" t="n">
        <v>95.24</v>
      </c>
      <c r="L41" s="12"/>
      <c r="M41" s="8" t="n">
        <v>200</v>
      </c>
      <c r="N41" s="8" t="n">
        <v>200</v>
      </c>
      <c r="O41" s="12"/>
      <c r="P41" s="12"/>
      <c r="Q41" s="12"/>
      <c r="R41" s="12"/>
      <c r="S41" s="12" t="n">
        <f aca="false">K41*F41</f>
        <v>0</v>
      </c>
    </row>
    <row r="42" customFormat="false" ht="14.25" hidden="false" customHeight="false" outlineLevel="0" collapsed="false">
      <c r="A42" s="8" t="n">
        <v>8</v>
      </c>
      <c r="B42" s="9" t="s">
        <v>39</v>
      </c>
      <c r="C42" s="10" t="n">
        <v>250</v>
      </c>
      <c r="D42" s="8" t="s">
        <v>51</v>
      </c>
      <c r="E42" s="8" t="s">
        <v>51</v>
      </c>
      <c r="F42" s="8"/>
      <c r="G42" s="8" t="n">
        <v>1630</v>
      </c>
      <c r="H42" s="8" t="n">
        <v>71.43</v>
      </c>
      <c r="I42" s="8"/>
      <c r="J42" s="8"/>
      <c r="K42" s="8" t="n">
        <v>95.24</v>
      </c>
      <c r="L42" s="12"/>
      <c r="M42" s="8" t="n">
        <v>200</v>
      </c>
      <c r="N42" s="8" t="n">
        <v>200</v>
      </c>
      <c r="O42" s="12"/>
      <c r="P42" s="12"/>
      <c r="Q42" s="12"/>
      <c r="R42" s="12"/>
      <c r="S42" s="12" t="n">
        <f aca="false">K42*F42</f>
        <v>0</v>
      </c>
    </row>
    <row r="43" customFormat="false" ht="14.25" hidden="false" customHeight="false" outlineLevel="0" collapsed="false">
      <c r="A43" s="8" t="n">
        <v>9</v>
      </c>
      <c r="B43" s="9" t="s">
        <v>40</v>
      </c>
      <c r="C43" s="10" t="n">
        <v>250</v>
      </c>
      <c r="D43" s="8" t="s">
        <v>51</v>
      </c>
      <c r="E43" s="8" t="s">
        <v>51</v>
      </c>
      <c r="F43" s="8"/>
      <c r="G43" s="8" t="n">
        <v>1630</v>
      </c>
      <c r="H43" s="8" t="n">
        <v>71.43</v>
      </c>
      <c r="I43" s="8"/>
      <c r="J43" s="8"/>
      <c r="K43" s="8" t="n">
        <v>95.24</v>
      </c>
      <c r="L43" s="12"/>
      <c r="M43" s="8" t="n">
        <v>200</v>
      </c>
      <c r="N43" s="8" t="n">
        <v>200</v>
      </c>
      <c r="O43" s="12"/>
      <c r="P43" s="12"/>
      <c r="Q43" s="12"/>
      <c r="R43" s="12"/>
      <c r="S43" s="12" t="n">
        <f aca="false">K43*F43</f>
        <v>0</v>
      </c>
    </row>
    <row r="44" customFormat="false" ht="14.25" hidden="false" customHeight="false" outlineLevel="0" collapsed="false">
      <c r="A44" s="8" t="n">
        <v>10</v>
      </c>
      <c r="B44" s="9" t="s">
        <v>41</v>
      </c>
      <c r="C44" s="10" t="n">
        <v>250</v>
      </c>
      <c r="D44" s="8" t="s">
        <v>51</v>
      </c>
      <c r="E44" s="8" t="s">
        <v>51</v>
      </c>
      <c r="F44" s="8"/>
      <c r="G44" s="8" t="n">
        <v>1630</v>
      </c>
      <c r="H44" s="8" t="n">
        <v>71.43</v>
      </c>
      <c r="I44" s="8"/>
      <c r="J44" s="8"/>
      <c r="K44" s="8" t="n">
        <v>95.24</v>
      </c>
      <c r="L44" s="12"/>
      <c r="M44" s="8" t="n">
        <v>200</v>
      </c>
      <c r="N44" s="8" t="n">
        <v>200</v>
      </c>
      <c r="O44" s="12"/>
      <c r="P44" s="12"/>
      <c r="Q44" s="12"/>
      <c r="R44" s="12"/>
      <c r="S44" s="12" t="n">
        <f aca="false">K44*F44</f>
        <v>0</v>
      </c>
    </row>
    <row r="45" customFormat="false" ht="14.25" hidden="false" customHeight="false" outlineLevel="0" collapsed="false">
      <c r="A45" s="8" t="n">
        <v>11</v>
      </c>
      <c r="B45" s="9" t="s">
        <v>42</v>
      </c>
      <c r="C45" s="10" t="n">
        <v>250</v>
      </c>
      <c r="D45" s="8" t="s">
        <v>51</v>
      </c>
      <c r="E45" s="8" t="s">
        <v>51</v>
      </c>
      <c r="F45" s="8"/>
      <c r="G45" s="8" t="n">
        <v>1630</v>
      </c>
      <c r="H45" s="8" t="n">
        <v>71.43</v>
      </c>
      <c r="I45" s="8"/>
      <c r="J45" s="8"/>
      <c r="K45" s="8" t="n">
        <v>95.24</v>
      </c>
      <c r="L45" s="12"/>
      <c r="M45" s="8" t="n">
        <v>200</v>
      </c>
      <c r="N45" s="8" t="n">
        <v>200</v>
      </c>
      <c r="O45" s="12"/>
      <c r="P45" s="12"/>
      <c r="Q45" s="12"/>
      <c r="R45" s="12"/>
      <c r="S45" s="12" t="n">
        <f aca="false">K45*F45</f>
        <v>0</v>
      </c>
    </row>
    <row r="46" customFormat="false" ht="14.25" hidden="false" customHeight="false" outlineLevel="0" collapsed="false">
      <c r="A46" s="8" t="n">
        <v>12</v>
      </c>
      <c r="B46" s="9" t="s">
        <v>43</v>
      </c>
      <c r="C46" s="10" t="n">
        <v>250</v>
      </c>
      <c r="D46" s="8" t="s">
        <v>51</v>
      </c>
      <c r="E46" s="8" t="s">
        <v>51</v>
      </c>
      <c r="F46" s="8"/>
      <c r="G46" s="8" t="n">
        <v>1630</v>
      </c>
      <c r="H46" s="8" t="n">
        <v>71.43</v>
      </c>
      <c r="I46" s="8"/>
      <c r="J46" s="8"/>
      <c r="K46" s="8" t="n">
        <v>95.24</v>
      </c>
      <c r="L46" s="12"/>
      <c r="M46" s="8" t="n">
        <v>200</v>
      </c>
      <c r="N46" s="8" t="n">
        <v>200</v>
      </c>
      <c r="O46" s="12"/>
      <c r="P46" s="12"/>
      <c r="Q46" s="12"/>
      <c r="R46" s="12"/>
      <c r="S46" s="12" t="n">
        <f aca="false">K46*F46</f>
        <v>0</v>
      </c>
    </row>
    <row r="47" customFormat="false" ht="14.25" hidden="false" customHeight="false" outlineLevel="0" collapsed="false">
      <c r="A47" s="8" t="n">
        <v>13</v>
      </c>
      <c r="B47" s="9" t="s">
        <v>44</v>
      </c>
      <c r="C47" s="10" t="n">
        <v>250</v>
      </c>
      <c r="D47" s="8" t="s">
        <v>51</v>
      </c>
      <c r="E47" s="8" t="s">
        <v>51</v>
      </c>
      <c r="F47" s="8"/>
      <c r="G47" s="8" t="n">
        <v>1630</v>
      </c>
      <c r="H47" s="8" t="n">
        <v>71.43</v>
      </c>
      <c r="I47" s="8"/>
      <c r="J47" s="8"/>
      <c r="K47" s="8" t="n">
        <v>95.24</v>
      </c>
      <c r="L47" s="12"/>
      <c r="M47" s="8" t="n">
        <v>200</v>
      </c>
      <c r="N47" s="8" t="n">
        <v>200</v>
      </c>
      <c r="O47" s="12"/>
      <c r="P47" s="12"/>
      <c r="Q47" s="12"/>
      <c r="R47" s="12"/>
      <c r="S47" s="12" t="n">
        <f aca="false">K47*F47</f>
        <v>0</v>
      </c>
    </row>
    <row r="48" customFormat="false" ht="14.25" hidden="false" customHeight="false" outlineLevel="0" collapsed="false">
      <c r="A48" s="8" t="n">
        <v>14</v>
      </c>
      <c r="B48" s="9" t="s">
        <v>45</v>
      </c>
      <c r="C48" s="10" t="n">
        <v>250</v>
      </c>
      <c r="D48" s="8" t="s">
        <v>51</v>
      </c>
      <c r="E48" s="8" t="s">
        <v>51</v>
      </c>
      <c r="F48" s="8"/>
      <c r="G48" s="8" t="n">
        <v>1630</v>
      </c>
      <c r="H48" s="8" t="n">
        <v>71.43</v>
      </c>
      <c r="I48" s="8"/>
      <c r="J48" s="8"/>
      <c r="K48" s="8" t="n">
        <v>95.24</v>
      </c>
      <c r="L48" s="12"/>
      <c r="M48" s="8" t="n">
        <v>200</v>
      </c>
      <c r="N48" s="8" t="n">
        <v>200</v>
      </c>
      <c r="O48" s="12"/>
      <c r="P48" s="12"/>
      <c r="Q48" s="12"/>
      <c r="R48" s="12"/>
      <c r="S48" s="12" t="n">
        <f aca="false">K48*F48</f>
        <v>0</v>
      </c>
    </row>
    <row r="49" customFormat="false" ht="14.25" hidden="false" customHeight="false" outlineLevel="0" collapsed="false">
      <c r="A49" s="8" t="n">
        <v>15</v>
      </c>
      <c r="B49" s="9" t="s">
        <v>46</v>
      </c>
      <c r="C49" s="10" t="n">
        <v>100</v>
      </c>
      <c r="D49" s="8" t="s">
        <v>52</v>
      </c>
      <c r="E49" s="8" t="s">
        <v>52</v>
      </c>
      <c r="F49" s="8"/>
      <c r="G49" s="8" t="n">
        <v>1550</v>
      </c>
      <c r="H49" s="8" t="n">
        <v>119.04</v>
      </c>
      <c r="I49" s="8"/>
      <c r="J49" s="8"/>
      <c r="K49" s="8" t="n">
        <v>142.86</v>
      </c>
      <c r="L49" s="12"/>
      <c r="M49" s="8" t="n">
        <v>300</v>
      </c>
      <c r="N49" s="8" t="n">
        <v>300</v>
      </c>
      <c r="O49" s="12"/>
      <c r="P49" s="12"/>
      <c r="Q49" s="12"/>
      <c r="R49" s="12"/>
      <c r="S49" s="12" t="n">
        <f aca="false">K49*F49</f>
        <v>0</v>
      </c>
    </row>
    <row r="50" customFormat="false" ht="14.25" hidden="false" customHeight="false" outlineLevel="0" collapsed="false">
      <c r="A50" s="8" t="n">
        <v>16</v>
      </c>
      <c r="B50" s="9" t="s">
        <v>48</v>
      </c>
      <c r="C50" s="10" t="n">
        <v>100</v>
      </c>
      <c r="D50" s="8" t="s">
        <v>52</v>
      </c>
      <c r="E50" s="8" t="s">
        <v>52</v>
      </c>
      <c r="F50" s="8"/>
      <c r="G50" s="8" t="n">
        <v>1550</v>
      </c>
      <c r="H50" s="8" t="n">
        <v>119.04</v>
      </c>
      <c r="I50" s="8"/>
      <c r="J50" s="8"/>
      <c r="K50" s="8" t="n">
        <v>142.86</v>
      </c>
      <c r="L50" s="12"/>
      <c r="M50" s="8" t="n">
        <v>300</v>
      </c>
      <c r="N50" s="8" t="n">
        <v>300</v>
      </c>
      <c r="O50" s="12"/>
      <c r="P50" s="12"/>
      <c r="Q50" s="12"/>
      <c r="R50" s="12"/>
      <c r="S50" s="12" t="n">
        <f aca="false">K50*F50</f>
        <v>0</v>
      </c>
    </row>
    <row r="51" customFormat="false" ht="14.25" hidden="false" customHeight="false" outlineLevel="0" collapsed="false">
      <c r="A51" s="8" t="n">
        <v>17</v>
      </c>
      <c r="B51" s="9" t="s">
        <v>49</v>
      </c>
      <c r="C51" s="10" t="n">
        <v>100</v>
      </c>
      <c r="D51" s="8" t="s">
        <v>52</v>
      </c>
      <c r="E51" s="8" t="s">
        <v>52</v>
      </c>
      <c r="F51" s="8"/>
      <c r="G51" s="8" t="n">
        <v>1550</v>
      </c>
      <c r="H51" s="8" t="n">
        <v>119.04</v>
      </c>
      <c r="I51" s="8"/>
      <c r="J51" s="8"/>
      <c r="K51" s="8" t="n">
        <v>142.86</v>
      </c>
      <c r="L51" s="12"/>
      <c r="M51" s="8" t="n">
        <v>300</v>
      </c>
      <c r="N51" s="8" t="n">
        <v>300</v>
      </c>
      <c r="O51" s="12"/>
      <c r="P51" s="12"/>
      <c r="Q51" s="12"/>
      <c r="R51" s="12"/>
      <c r="S51" s="12" t="n">
        <f aca="false">K51*F51</f>
        <v>0</v>
      </c>
    </row>
    <row r="52" customFormat="false" ht="14.25" hidden="false" customHeight="false" outlineLevel="0" collapsed="false">
      <c r="A52" s="8" t="n">
        <v>18</v>
      </c>
      <c r="B52" s="9" t="s">
        <v>50</v>
      </c>
      <c r="C52" s="10" t="n">
        <v>100</v>
      </c>
      <c r="D52" s="8" t="s">
        <v>52</v>
      </c>
      <c r="E52" s="8" t="s">
        <v>52</v>
      </c>
      <c r="F52" s="8"/>
      <c r="G52" s="8" t="n">
        <v>1550</v>
      </c>
      <c r="H52" s="8" t="n">
        <v>119.04</v>
      </c>
      <c r="I52" s="8"/>
      <c r="J52" s="8"/>
      <c r="K52" s="8" t="n">
        <v>142.86</v>
      </c>
      <c r="L52" s="12"/>
      <c r="M52" s="8" t="n">
        <v>300</v>
      </c>
      <c r="N52" s="8" t="n">
        <v>300</v>
      </c>
      <c r="O52" s="12"/>
      <c r="P52" s="12"/>
      <c r="Q52" s="12"/>
      <c r="R52" s="12"/>
      <c r="S52" s="12" t="n">
        <f aca="false">K52*F52</f>
        <v>0</v>
      </c>
    </row>
    <row r="53" customFormat="false" ht="14.25" hidden="false" customHeight="false" outlineLevel="0" collapsed="false">
      <c r="A53" s="8"/>
      <c r="B53" s="12" t="s">
        <v>53</v>
      </c>
      <c r="C53" s="8" t="n">
        <v>250</v>
      </c>
      <c r="D53" s="8" t="s">
        <v>54</v>
      </c>
      <c r="E53" s="8" t="s">
        <v>55</v>
      </c>
      <c r="F53" s="8"/>
      <c r="G53" s="8"/>
      <c r="H53" s="8" t="n">
        <v>57.14</v>
      </c>
      <c r="I53" s="8"/>
      <c r="J53" s="8"/>
      <c r="K53" s="8" t="n">
        <v>59.52</v>
      </c>
      <c r="L53" s="12"/>
      <c r="M53" s="8" t="n">
        <v>125</v>
      </c>
      <c r="N53" s="8" t="n">
        <v>125</v>
      </c>
      <c r="O53" s="12"/>
      <c r="P53" s="12"/>
      <c r="Q53" s="12"/>
      <c r="R53" s="12"/>
      <c r="S53" s="12"/>
    </row>
    <row r="54" customFormat="false" ht="14.25" hidden="false" customHeight="false" outlineLevel="0" collapsed="false">
      <c r="A54" s="8" t="n">
        <v>1</v>
      </c>
      <c r="B54" s="12" t="s">
        <v>56</v>
      </c>
      <c r="C54" s="8" t="n">
        <v>50</v>
      </c>
      <c r="D54" s="8" t="s">
        <v>57</v>
      </c>
      <c r="E54" s="8" t="s">
        <v>57</v>
      </c>
      <c r="F54" s="8"/>
      <c r="G54" s="8" t="n">
        <v>1000</v>
      </c>
      <c r="H54" s="8"/>
      <c r="I54" s="8"/>
      <c r="J54" s="8"/>
      <c r="K54" s="8"/>
      <c r="L54" s="8" t="n">
        <v>525</v>
      </c>
      <c r="M54" s="8" t="n">
        <v>50</v>
      </c>
      <c r="N54" s="8" t="n">
        <v>50</v>
      </c>
      <c r="O54" s="12"/>
      <c r="P54" s="12"/>
      <c r="Q54" s="12"/>
      <c r="R54" s="12"/>
      <c r="S54" s="12" t="n">
        <f aca="false">L54*F54</f>
        <v>0</v>
      </c>
    </row>
    <row r="55" customFormat="false" ht="14.25" hidden="false" customHeight="false" outlineLevel="0" collapsed="false">
      <c r="A55" s="8" t="n">
        <v>2</v>
      </c>
      <c r="B55" s="12" t="s">
        <v>58</v>
      </c>
      <c r="C55" s="8" t="n">
        <v>50</v>
      </c>
      <c r="D55" s="8" t="s">
        <v>57</v>
      </c>
      <c r="E55" s="8" t="s">
        <v>57</v>
      </c>
      <c r="F55" s="8"/>
      <c r="G55" s="8" t="n">
        <v>1000</v>
      </c>
      <c r="H55" s="8"/>
      <c r="I55" s="8"/>
      <c r="J55" s="8"/>
      <c r="K55" s="8"/>
      <c r="L55" s="8" t="n">
        <v>525</v>
      </c>
      <c r="M55" s="8" t="n">
        <v>50</v>
      </c>
      <c r="N55" s="8" t="n">
        <v>50</v>
      </c>
      <c r="O55" s="12"/>
      <c r="P55" s="12"/>
      <c r="Q55" s="12"/>
      <c r="R55" s="12"/>
      <c r="S55" s="12" t="n">
        <f aca="false">L55*F55</f>
        <v>0</v>
      </c>
    </row>
    <row r="56" customFormat="false" ht="14.25" hidden="false" customHeight="false" outlineLevel="0" collapsed="false">
      <c r="A56" s="8" t="n">
        <v>3</v>
      </c>
      <c r="B56" s="12" t="s">
        <v>59</v>
      </c>
      <c r="C56" s="8" t="n">
        <v>50</v>
      </c>
      <c r="D56" s="8" t="s">
        <v>57</v>
      </c>
      <c r="E56" s="8" t="s">
        <v>57</v>
      </c>
      <c r="F56" s="8"/>
      <c r="G56" s="8" t="n">
        <v>1680</v>
      </c>
      <c r="H56" s="8"/>
      <c r="I56" s="8"/>
      <c r="J56" s="8"/>
      <c r="K56" s="8"/>
      <c r="L56" s="8" t="n">
        <v>525</v>
      </c>
      <c r="M56" s="8" t="n">
        <v>50</v>
      </c>
      <c r="N56" s="8" t="n">
        <v>50</v>
      </c>
      <c r="O56" s="12"/>
      <c r="P56" s="12"/>
      <c r="Q56" s="12"/>
      <c r="R56" s="12"/>
      <c r="S56" s="12" t="n">
        <f aca="false">L56*F56</f>
        <v>0</v>
      </c>
    </row>
    <row r="57" customFormat="false" ht="14.25" hidden="false" customHeight="false" outlineLevel="0" collapsed="false">
      <c r="A57" s="8" t="n">
        <v>4</v>
      </c>
      <c r="B57" s="12" t="s">
        <v>60</v>
      </c>
      <c r="C57" s="8" t="n">
        <v>50</v>
      </c>
      <c r="D57" s="8" t="s">
        <v>57</v>
      </c>
      <c r="E57" s="8" t="s">
        <v>57</v>
      </c>
      <c r="F57" s="8"/>
      <c r="G57" s="8" t="n">
        <v>1200</v>
      </c>
      <c r="H57" s="8"/>
      <c r="I57" s="8"/>
      <c r="J57" s="8"/>
      <c r="K57" s="8"/>
      <c r="L57" s="8" t="n">
        <v>525</v>
      </c>
      <c r="M57" s="8" t="n">
        <v>50</v>
      </c>
      <c r="N57" s="8" t="n">
        <v>50</v>
      </c>
      <c r="O57" s="12"/>
      <c r="P57" s="12"/>
      <c r="Q57" s="12"/>
      <c r="R57" s="12"/>
      <c r="S57" s="12" t="n">
        <f aca="false">L57*F57</f>
        <v>0</v>
      </c>
    </row>
    <row r="58" customFormat="false" ht="14.25" hidden="false" customHeight="false" outlineLevel="0" collapsed="false">
      <c r="A58" s="8" t="n">
        <v>5</v>
      </c>
      <c r="B58" s="12" t="s">
        <v>61</v>
      </c>
      <c r="C58" s="8" t="n">
        <v>50</v>
      </c>
      <c r="D58" s="8" t="s">
        <v>57</v>
      </c>
      <c r="E58" s="8" t="s">
        <v>57</v>
      </c>
      <c r="F58" s="8"/>
      <c r="G58" s="8" t="n">
        <v>2580</v>
      </c>
      <c r="H58" s="8"/>
      <c r="I58" s="8"/>
      <c r="J58" s="8"/>
      <c r="K58" s="8"/>
      <c r="L58" s="8" t="n">
        <v>525</v>
      </c>
      <c r="M58" s="8" t="n">
        <v>50</v>
      </c>
      <c r="N58" s="8" t="n">
        <v>50</v>
      </c>
      <c r="O58" s="12"/>
      <c r="P58" s="12"/>
      <c r="Q58" s="12"/>
      <c r="R58" s="12"/>
      <c r="S58" s="12" t="n">
        <f aca="false">L58*F58</f>
        <v>0</v>
      </c>
    </row>
    <row r="59" customFormat="false" ht="14.25" hidden="false" customHeight="false" outlineLevel="0" collapsed="false">
      <c r="A59" s="8" t="n">
        <v>6</v>
      </c>
      <c r="B59" s="12" t="s">
        <v>62</v>
      </c>
      <c r="C59" s="8" t="n">
        <v>50</v>
      </c>
      <c r="D59" s="8" t="s">
        <v>57</v>
      </c>
      <c r="E59" s="8" t="s">
        <v>57</v>
      </c>
      <c r="F59" s="8"/>
      <c r="G59" s="8" t="n">
        <v>1250</v>
      </c>
      <c r="H59" s="8"/>
      <c r="I59" s="8"/>
      <c r="J59" s="8"/>
      <c r="K59" s="8"/>
      <c r="L59" s="8" t="n">
        <v>525</v>
      </c>
      <c r="M59" s="8" t="n">
        <v>50</v>
      </c>
      <c r="N59" s="8" t="n">
        <v>50</v>
      </c>
      <c r="O59" s="12"/>
      <c r="P59" s="12"/>
      <c r="Q59" s="12"/>
      <c r="R59" s="12"/>
      <c r="S59" s="12" t="n">
        <f aca="false">L59*F59</f>
        <v>0</v>
      </c>
    </row>
    <row r="60" customFormat="false" ht="14.25" hidden="false" customHeight="false" outlineLevel="0" collapsed="false">
      <c r="A60" s="8" t="n">
        <v>7</v>
      </c>
      <c r="B60" s="12" t="s">
        <v>63</v>
      </c>
      <c r="C60" s="8" t="n">
        <v>50</v>
      </c>
      <c r="D60" s="8" t="s">
        <v>57</v>
      </c>
      <c r="E60" s="8" t="s">
        <v>57</v>
      </c>
      <c r="F60" s="8"/>
      <c r="G60" s="8" t="n">
        <v>1280</v>
      </c>
      <c r="H60" s="8"/>
      <c r="I60" s="8"/>
      <c r="J60" s="8"/>
      <c r="K60" s="8"/>
      <c r="L60" s="8" t="n">
        <v>525</v>
      </c>
      <c r="M60" s="8" t="n">
        <v>50</v>
      </c>
      <c r="N60" s="8" t="n">
        <v>50</v>
      </c>
      <c r="O60" s="12"/>
      <c r="P60" s="12"/>
      <c r="Q60" s="12"/>
      <c r="R60" s="12"/>
      <c r="S60" s="12" t="n">
        <f aca="false">L60*F60</f>
        <v>0</v>
      </c>
    </row>
    <row r="61" customFormat="false" ht="14.25" hidden="false" customHeight="false" outlineLevel="0" collapsed="false">
      <c r="A61" s="8" t="n">
        <v>8</v>
      </c>
      <c r="B61" s="12" t="s">
        <v>64</v>
      </c>
      <c r="C61" s="8" t="n">
        <v>50</v>
      </c>
      <c r="D61" s="8" t="s">
        <v>57</v>
      </c>
      <c r="E61" s="8" t="s">
        <v>57</v>
      </c>
      <c r="F61" s="8"/>
      <c r="G61" s="8" t="n">
        <v>1280</v>
      </c>
      <c r="H61" s="8"/>
      <c r="I61" s="8"/>
      <c r="J61" s="8"/>
      <c r="K61" s="8"/>
      <c r="L61" s="8" t="n">
        <v>525</v>
      </c>
      <c r="M61" s="8" t="n">
        <v>50</v>
      </c>
      <c r="N61" s="8" t="n">
        <v>50</v>
      </c>
      <c r="O61" s="12"/>
      <c r="P61" s="12"/>
      <c r="Q61" s="12"/>
      <c r="R61" s="12"/>
      <c r="S61" s="12" t="n">
        <f aca="false">L61*F61</f>
        <v>0</v>
      </c>
    </row>
    <row r="62" customFormat="false" ht="14.25" hidden="false" customHeight="false" outlineLevel="0" collapsed="false">
      <c r="A62" s="8" t="n">
        <v>9</v>
      </c>
      <c r="B62" s="12" t="s">
        <v>65</v>
      </c>
      <c r="C62" s="8" t="n">
        <v>25</v>
      </c>
      <c r="D62" s="8" t="s">
        <v>66</v>
      </c>
      <c r="E62" s="8" t="s">
        <v>66</v>
      </c>
      <c r="F62" s="8"/>
      <c r="G62" s="8" t="n">
        <v>6000</v>
      </c>
      <c r="H62" s="8"/>
      <c r="I62" s="8"/>
      <c r="J62" s="8"/>
      <c r="K62" s="8"/>
      <c r="L62" s="8" t="n">
        <v>975</v>
      </c>
      <c r="M62" s="8" t="n">
        <v>50</v>
      </c>
      <c r="N62" s="8" t="n">
        <v>50</v>
      </c>
      <c r="O62" s="12"/>
      <c r="P62" s="12"/>
      <c r="Q62" s="12"/>
      <c r="R62" s="12"/>
      <c r="S62" s="12" t="n">
        <f aca="false">L62*F62</f>
        <v>0</v>
      </c>
    </row>
    <row r="63" customFormat="false" ht="14.25" hidden="false" customHeight="false" outlineLevel="0" collapsed="false">
      <c r="A63" s="8" t="n">
        <v>10</v>
      </c>
      <c r="B63" s="12" t="s">
        <v>67</v>
      </c>
      <c r="C63" s="8" t="n">
        <v>25</v>
      </c>
      <c r="D63" s="8" t="s">
        <v>66</v>
      </c>
      <c r="E63" s="8" t="s">
        <v>66</v>
      </c>
      <c r="F63" s="8"/>
      <c r="G63" s="8" t="n">
        <v>6500</v>
      </c>
      <c r="H63" s="8"/>
      <c r="I63" s="8"/>
      <c r="J63" s="8"/>
      <c r="K63" s="8"/>
      <c r="L63" s="8" t="n">
        <v>975</v>
      </c>
      <c r="M63" s="8" t="n">
        <v>50</v>
      </c>
      <c r="N63" s="8" t="n">
        <v>50</v>
      </c>
      <c r="O63" s="12"/>
      <c r="P63" s="12"/>
      <c r="Q63" s="12"/>
      <c r="R63" s="12"/>
      <c r="S63" s="12" t="n">
        <f aca="false">L63*F63</f>
        <v>0</v>
      </c>
    </row>
    <row r="64" customFormat="false" ht="14.25" hidden="false" customHeight="false" outlineLevel="0" collapsed="false">
      <c r="A64" s="8" t="n">
        <v>11</v>
      </c>
      <c r="B64" s="12" t="s">
        <v>68</v>
      </c>
      <c r="C64" s="8" t="n">
        <v>25</v>
      </c>
      <c r="D64" s="8" t="s">
        <v>66</v>
      </c>
      <c r="E64" s="8" t="s">
        <v>66</v>
      </c>
      <c r="F64" s="8"/>
      <c r="G64" s="8" t="n">
        <v>2500</v>
      </c>
      <c r="H64" s="8"/>
      <c r="I64" s="8"/>
      <c r="J64" s="8"/>
      <c r="K64" s="8"/>
      <c r="L64" s="8" t="n">
        <v>975</v>
      </c>
      <c r="M64" s="8" t="n">
        <v>50</v>
      </c>
      <c r="N64" s="8" t="n">
        <v>50</v>
      </c>
      <c r="O64" s="12"/>
      <c r="P64" s="12"/>
      <c r="Q64" s="12"/>
      <c r="R64" s="12"/>
      <c r="S64" s="12" t="n">
        <f aca="false">L64*F64</f>
        <v>0</v>
      </c>
    </row>
    <row r="65" customFormat="false" ht="14.25" hidden="false" customHeight="false" outlineLevel="0" collapsed="false">
      <c r="A65" s="8" t="n">
        <v>12</v>
      </c>
      <c r="B65" s="12" t="s">
        <v>69</v>
      </c>
      <c r="C65" s="8" t="n">
        <v>25</v>
      </c>
      <c r="D65" s="8" t="s">
        <v>66</v>
      </c>
      <c r="E65" s="8" t="s">
        <v>66</v>
      </c>
      <c r="F65" s="8"/>
      <c r="G65" s="8" t="n">
        <v>5800</v>
      </c>
      <c r="H65" s="8"/>
      <c r="I65" s="8"/>
      <c r="J65" s="8"/>
      <c r="K65" s="8"/>
      <c r="L65" s="8" t="n">
        <v>975</v>
      </c>
      <c r="M65" s="8" t="n">
        <v>50</v>
      </c>
      <c r="N65" s="8" t="n">
        <v>50</v>
      </c>
      <c r="O65" s="12"/>
      <c r="P65" s="12"/>
      <c r="Q65" s="12"/>
      <c r="R65" s="12"/>
      <c r="S65" s="12" t="n">
        <f aca="false">L65*F65</f>
        <v>0</v>
      </c>
    </row>
    <row r="66" customFormat="false" ht="14.25" hidden="false" customHeight="false" outlineLevel="0" collapsed="false">
      <c r="A66" s="8" t="n">
        <v>13</v>
      </c>
      <c r="B66" s="12" t="s">
        <v>70</v>
      </c>
      <c r="C66" s="8" t="n">
        <v>25</v>
      </c>
      <c r="D66" s="8" t="s">
        <v>66</v>
      </c>
      <c r="E66" s="8" t="s">
        <v>66</v>
      </c>
      <c r="F66" s="8"/>
      <c r="G66" s="8" t="n">
        <v>4000</v>
      </c>
      <c r="H66" s="8"/>
      <c r="I66" s="8"/>
      <c r="J66" s="8"/>
      <c r="K66" s="8"/>
      <c r="L66" s="8" t="n">
        <v>975</v>
      </c>
      <c r="M66" s="8" t="n">
        <v>50</v>
      </c>
      <c r="N66" s="8" t="n">
        <v>50</v>
      </c>
      <c r="O66" s="12"/>
      <c r="P66" s="12"/>
      <c r="Q66" s="12"/>
      <c r="R66" s="12"/>
      <c r="S66" s="12" t="n">
        <f aca="false">L66*F66</f>
        <v>0</v>
      </c>
    </row>
    <row r="67" customFormat="false" ht="14.25" hidden="false" customHeight="false" outlineLevel="0" collapsed="false">
      <c r="A67" s="8" t="n">
        <v>14</v>
      </c>
      <c r="B67" s="12" t="s">
        <v>71</v>
      </c>
      <c r="C67" s="8" t="n">
        <v>25</v>
      </c>
      <c r="D67" s="8" t="s">
        <v>66</v>
      </c>
      <c r="E67" s="8" t="s">
        <v>66</v>
      </c>
      <c r="F67" s="8"/>
      <c r="G67" s="8" t="n">
        <v>1800</v>
      </c>
      <c r="H67" s="8"/>
      <c r="I67" s="8"/>
      <c r="J67" s="8"/>
      <c r="K67" s="8"/>
      <c r="L67" s="8" t="n">
        <v>975</v>
      </c>
      <c r="M67" s="8" t="n">
        <v>50</v>
      </c>
      <c r="N67" s="8" t="n">
        <v>50</v>
      </c>
      <c r="O67" s="12"/>
      <c r="P67" s="12"/>
      <c r="Q67" s="12"/>
      <c r="R67" s="12"/>
      <c r="S67" s="12" t="n">
        <f aca="false">L67*F67</f>
        <v>0</v>
      </c>
    </row>
    <row r="68" customFormat="false" ht="14.25" hidden="false" customHeight="false" outlineLevel="0" collapsed="false">
      <c r="A68" s="8" t="n">
        <v>15</v>
      </c>
      <c r="B68" s="12" t="s">
        <v>72</v>
      </c>
      <c r="C68" s="8" t="n">
        <v>25</v>
      </c>
      <c r="D68" s="8" t="s">
        <v>66</v>
      </c>
      <c r="E68" s="8" t="s">
        <v>66</v>
      </c>
      <c r="F68" s="8"/>
      <c r="G68" s="8" t="n">
        <v>8000</v>
      </c>
      <c r="H68" s="8"/>
      <c r="I68" s="8"/>
      <c r="J68" s="8"/>
      <c r="K68" s="8"/>
      <c r="L68" s="8" t="n">
        <v>975</v>
      </c>
      <c r="M68" s="8" t="n">
        <v>50</v>
      </c>
      <c r="N68" s="8" t="n">
        <v>50</v>
      </c>
      <c r="O68" s="12"/>
      <c r="P68" s="12"/>
      <c r="Q68" s="12"/>
      <c r="R68" s="12"/>
      <c r="S68" s="12" t="n">
        <f aca="false">L68*F68</f>
        <v>0</v>
      </c>
    </row>
    <row r="69" customFormat="false" ht="14.25" hidden="false" customHeight="false" outlineLevel="0" collapsed="false">
      <c r="A69" s="8" t="n">
        <v>16</v>
      </c>
      <c r="B69" s="12" t="s">
        <v>73</v>
      </c>
      <c r="C69" s="8" t="n">
        <v>25</v>
      </c>
      <c r="D69" s="8" t="s">
        <v>66</v>
      </c>
      <c r="E69" s="8" t="s">
        <v>66</v>
      </c>
      <c r="F69" s="8"/>
      <c r="G69" s="8" t="n">
        <v>2500</v>
      </c>
      <c r="H69" s="8"/>
      <c r="I69" s="8"/>
      <c r="J69" s="8"/>
      <c r="K69" s="8"/>
      <c r="L69" s="8" t="n">
        <v>975</v>
      </c>
      <c r="M69" s="8" t="n">
        <v>50</v>
      </c>
      <c r="N69" s="8" t="n">
        <v>50</v>
      </c>
      <c r="O69" s="12"/>
      <c r="P69" s="12"/>
      <c r="Q69" s="12"/>
      <c r="R69" s="12"/>
      <c r="S69" s="12" t="n">
        <f aca="false">L69*F69</f>
        <v>0</v>
      </c>
    </row>
    <row r="70" customFormat="false" ht="14.25" hidden="false" customHeight="false" outlineLevel="0" collapsed="false">
      <c r="A70" s="8" t="n">
        <v>17</v>
      </c>
      <c r="B70" s="12" t="s">
        <v>74</v>
      </c>
      <c r="C70" s="8" t="n">
        <v>25</v>
      </c>
      <c r="D70" s="8" t="s">
        <v>66</v>
      </c>
      <c r="E70" s="8" t="s">
        <v>66</v>
      </c>
      <c r="F70" s="8"/>
      <c r="G70" s="8" t="n">
        <v>1450</v>
      </c>
      <c r="H70" s="8"/>
      <c r="I70" s="8"/>
      <c r="J70" s="8"/>
      <c r="K70" s="8"/>
      <c r="L70" s="8" t="n">
        <v>975</v>
      </c>
      <c r="M70" s="8" t="n">
        <v>50</v>
      </c>
      <c r="N70" s="8" t="n">
        <v>50</v>
      </c>
      <c r="O70" s="12"/>
      <c r="P70" s="12"/>
      <c r="Q70" s="12"/>
      <c r="R70" s="12"/>
      <c r="S70" s="12" t="n">
        <f aca="false">L70*F70</f>
        <v>0</v>
      </c>
    </row>
    <row r="71" customFormat="false" ht="14.25" hidden="false" customHeight="false" outlineLevel="0" collapsed="false">
      <c r="A71" s="8" t="n">
        <v>18</v>
      </c>
      <c r="B71" s="12" t="s">
        <v>75</v>
      </c>
      <c r="C71" s="8" t="n">
        <v>25</v>
      </c>
      <c r="D71" s="8" t="s">
        <v>66</v>
      </c>
      <c r="E71" s="8" t="s">
        <v>66</v>
      </c>
      <c r="F71" s="8"/>
      <c r="G71" s="8" t="n">
        <v>2800</v>
      </c>
      <c r="H71" s="8"/>
      <c r="I71" s="8"/>
      <c r="J71" s="8"/>
      <c r="K71" s="8"/>
      <c r="L71" s="8" t="n">
        <v>975</v>
      </c>
      <c r="M71" s="8" t="n">
        <v>50</v>
      </c>
      <c r="N71" s="8" t="n">
        <v>50</v>
      </c>
      <c r="O71" s="12"/>
      <c r="P71" s="12"/>
      <c r="Q71" s="12"/>
      <c r="R71" s="12"/>
      <c r="S71" s="12" t="n">
        <f aca="false">L71*F71</f>
        <v>0</v>
      </c>
    </row>
    <row r="72" customFormat="false" ht="14.25" hidden="false" customHeight="false" outlineLevel="0" collapsed="false">
      <c r="A72" s="8" t="n">
        <v>19</v>
      </c>
      <c r="B72" s="12" t="s">
        <v>76</v>
      </c>
      <c r="C72" s="8" t="n">
        <v>50</v>
      </c>
      <c r="D72" s="8" t="s">
        <v>77</v>
      </c>
      <c r="E72" s="8" t="s">
        <v>78</v>
      </c>
      <c r="F72" s="8"/>
      <c r="G72" s="8" t="n">
        <v>2750</v>
      </c>
      <c r="H72" s="8"/>
      <c r="I72" s="8"/>
      <c r="J72" s="8"/>
      <c r="K72" s="8"/>
      <c r="L72" s="8" t="n">
        <v>600</v>
      </c>
      <c r="M72" s="8" t="n">
        <v>75</v>
      </c>
      <c r="N72" s="8" t="n">
        <v>75</v>
      </c>
      <c r="O72" s="12"/>
      <c r="P72" s="12"/>
      <c r="Q72" s="12"/>
      <c r="R72" s="12"/>
      <c r="S72" s="12" t="n">
        <f aca="false">L72*F72</f>
        <v>0</v>
      </c>
    </row>
    <row r="73" customFormat="false" ht="14.25" hidden="false" customHeight="false" outlineLevel="0" collapsed="false">
      <c r="A73" s="8" t="n">
        <v>20</v>
      </c>
      <c r="B73" s="12" t="s">
        <v>79</v>
      </c>
      <c r="C73" s="8" t="n">
        <v>50</v>
      </c>
      <c r="D73" s="8" t="s">
        <v>80</v>
      </c>
      <c r="E73" s="8" t="s">
        <v>81</v>
      </c>
      <c r="F73" s="8"/>
      <c r="G73" s="8" t="n">
        <v>7800</v>
      </c>
      <c r="H73" s="8"/>
      <c r="I73" s="8"/>
      <c r="J73" s="8"/>
      <c r="K73" s="8"/>
      <c r="L73" s="8" t="n">
        <v>825</v>
      </c>
      <c r="M73" s="8" t="n">
        <v>100</v>
      </c>
      <c r="N73" s="8" t="n">
        <v>100</v>
      </c>
      <c r="O73" s="12"/>
      <c r="P73" s="12"/>
      <c r="Q73" s="12"/>
      <c r="R73" s="12"/>
      <c r="S73" s="12" t="n">
        <f aca="false">L73*F73</f>
        <v>0</v>
      </c>
    </row>
    <row r="74" customFormat="false" ht="14.25" hidden="false" customHeight="false" outlineLevel="0" collapsed="false">
      <c r="A74" s="8" t="n">
        <v>21</v>
      </c>
      <c r="B74" s="12" t="s">
        <v>82</v>
      </c>
      <c r="C74" s="8" t="n">
        <v>25</v>
      </c>
      <c r="D74" s="8" t="s">
        <v>83</v>
      </c>
      <c r="E74" s="8" t="s">
        <v>84</v>
      </c>
      <c r="F74" s="8"/>
      <c r="G74" s="8"/>
      <c r="H74" s="8"/>
      <c r="I74" s="8"/>
      <c r="J74" s="8"/>
      <c r="K74" s="8"/>
      <c r="L74" s="8" t="n">
        <v>2030</v>
      </c>
      <c r="M74" s="8" t="n">
        <v>100</v>
      </c>
      <c r="N74" s="8" t="n">
        <v>100</v>
      </c>
      <c r="O74" s="12"/>
      <c r="P74" s="12"/>
      <c r="Q74" s="12"/>
      <c r="R74" s="12"/>
      <c r="S74" s="12" t="n">
        <f aca="false">L74*F74</f>
        <v>0</v>
      </c>
    </row>
    <row r="75" customFormat="false" ht="14.25" hidden="false" customHeight="false" outlineLevel="0" collapsed="false">
      <c r="A75" s="8" t="n">
        <v>22</v>
      </c>
      <c r="B75" s="12" t="s">
        <v>85</v>
      </c>
      <c r="C75" s="8" t="n">
        <v>25</v>
      </c>
      <c r="D75" s="8" t="s">
        <v>83</v>
      </c>
      <c r="E75" s="8" t="s">
        <v>84</v>
      </c>
      <c r="F75" s="8"/>
      <c r="G75" s="8"/>
      <c r="H75" s="8"/>
      <c r="I75" s="8"/>
      <c r="J75" s="8"/>
      <c r="K75" s="8"/>
      <c r="L75" s="8" t="n">
        <v>1800</v>
      </c>
      <c r="M75" s="8" t="n">
        <v>100</v>
      </c>
      <c r="N75" s="8" t="n">
        <v>100</v>
      </c>
      <c r="O75" s="12"/>
      <c r="P75" s="12"/>
      <c r="Q75" s="12"/>
      <c r="R75" s="12"/>
      <c r="S75" s="12" t="n">
        <f aca="false">L75*F75</f>
        <v>0</v>
      </c>
    </row>
    <row r="76" customFormat="false" ht="14.25" hidden="false" customHeight="false" outlineLevel="0" collapsed="false">
      <c r="A76" s="8" t="n">
        <v>23</v>
      </c>
      <c r="B76" s="12" t="s">
        <v>86</v>
      </c>
      <c r="C76" s="8" t="n">
        <v>25</v>
      </c>
      <c r="D76" s="8" t="s">
        <v>83</v>
      </c>
      <c r="E76" s="8" t="s">
        <v>84</v>
      </c>
      <c r="F76" s="8"/>
      <c r="G76" s="8"/>
      <c r="H76" s="8"/>
      <c r="I76" s="8"/>
      <c r="J76" s="8"/>
      <c r="K76" s="8"/>
      <c r="L76" s="8" t="n">
        <v>1800</v>
      </c>
      <c r="M76" s="8" t="n">
        <v>100</v>
      </c>
      <c r="N76" s="8" t="n">
        <v>100</v>
      </c>
      <c r="O76" s="12"/>
      <c r="P76" s="12"/>
      <c r="Q76" s="12"/>
      <c r="R76" s="12"/>
      <c r="S76" s="12" t="n">
        <f aca="false">L76*F76</f>
        <v>0</v>
      </c>
    </row>
    <row r="77" customFormat="false" ht="14.25" hidden="false" customHeight="false" outlineLevel="0" collapsed="false">
      <c r="A77" s="8" t="n">
        <v>24</v>
      </c>
      <c r="B77" s="12" t="s">
        <v>87</v>
      </c>
      <c r="C77" s="8" t="n">
        <v>25</v>
      </c>
      <c r="D77" s="8" t="s">
        <v>83</v>
      </c>
      <c r="E77" s="8" t="s">
        <v>84</v>
      </c>
      <c r="F77" s="8"/>
      <c r="G77" s="8"/>
      <c r="H77" s="8"/>
      <c r="I77" s="8"/>
      <c r="J77" s="8"/>
      <c r="K77" s="8"/>
      <c r="L77" s="8" t="n">
        <v>2030</v>
      </c>
      <c r="M77" s="8" t="n">
        <v>100</v>
      </c>
      <c r="N77" s="8" t="n">
        <v>100</v>
      </c>
      <c r="O77" s="12"/>
      <c r="P77" s="12"/>
      <c r="Q77" s="12"/>
      <c r="R77" s="12"/>
      <c r="S77" s="12" t="n">
        <f aca="false">L77*F77</f>
        <v>0</v>
      </c>
    </row>
    <row r="78" customFormat="false" ht="14.25" hidden="false" customHeight="false" outlineLevel="0" collapsed="false">
      <c r="A78" s="8" t="n">
        <v>25</v>
      </c>
      <c r="B78" s="12" t="s">
        <v>88</v>
      </c>
      <c r="C78" s="8" t="n">
        <v>25</v>
      </c>
      <c r="D78" s="8" t="s">
        <v>89</v>
      </c>
      <c r="E78" s="8" t="s">
        <v>89</v>
      </c>
      <c r="F78" s="8"/>
      <c r="G78" s="8" t="n">
        <v>12800</v>
      </c>
      <c r="H78" s="8"/>
      <c r="I78" s="8"/>
      <c r="J78" s="8"/>
      <c r="K78" s="8"/>
      <c r="L78" s="8" t="n">
        <v>925</v>
      </c>
      <c r="M78" s="8" t="n">
        <v>80</v>
      </c>
      <c r="N78" s="8" t="n">
        <v>80</v>
      </c>
      <c r="O78" s="12"/>
      <c r="P78" s="12"/>
      <c r="Q78" s="12"/>
      <c r="R78" s="12"/>
      <c r="S78" s="12" t="n">
        <f aca="false">L78*F78</f>
        <v>0</v>
      </c>
    </row>
    <row r="79" customFormat="false" ht="14.25" hidden="false" customHeight="false" outlineLevel="0" collapsed="false">
      <c r="A79" s="8" t="n">
        <v>26</v>
      </c>
      <c r="B79" s="12" t="s">
        <v>90</v>
      </c>
      <c r="C79" s="8" t="n">
        <v>25</v>
      </c>
      <c r="D79" s="8" t="s">
        <v>89</v>
      </c>
      <c r="E79" s="8" t="s">
        <v>89</v>
      </c>
      <c r="F79" s="8"/>
      <c r="G79" s="8" t="n">
        <v>4500</v>
      </c>
      <c r="H79" s="8"/>
      <c r="I79" s="8"/>
      <c r="J79" s="8"/>
      <c r="K79" s="8"/>
      <c r="L79" s="8" t="n">
        <v>900</v>
      </c>
      <c r="M79" s="8" t="n">
        <v>80</v>
      </c>
      <c r="N79" s="8" t="n">
        <v>80</v>
      </c>
      <c r="O79" s="12"/>
      <c r="P79" s="12"/>
      <c r="Q79" s="12"/>
      <c r="R79" s="12"/>
      <c r="S79" s="12" t="n">
        <f aca="false">L79*F79</f>
        <v>0</v>
      </c>
    </row>
    <row r="80" customFormat="false" ht="14.25" hidden="false" customHeight="false" outlineLevel="0" collapsed="false">
      <c r="A80" s="8" t="n">
        <v>27</v>
      </c>
      <c r="B80" s="12" t="s">
        <v>91</v>
      </c>
      <c r="C80" s="8" t="n">
        <v>25</v>
      </c>
      <c r="D80" s="8" t="s">
        <v>89</v>
      </c>
      <c r="E80" s="8" t="s">
        <v>89</v>
      </c>
      <c r="F80" s="8"/>
      <c r="G80" s="8" t="n">
        <v>10000</v>
      </c>
      <c r="H80" s="8"/>
      <c r="I80" s="8"/>
      <c r="J80" s="8"/>
      <c r="K80" s="8"/>
      <c r="L80" s="8" t="n">
        <v>875</v>
      </c>
      <c r="M80" s="8" t="n">
        <v>80</v>
      </c>
      <c r="N80" s="8" t="n">
        <v>80</v>
      </c>
      <c r="O80" s="12"/>
      <c r="P80" s="12"/>
      <c r="Q80" s="12"/>
      <c r="R80" s="12"/>
      <c r="S80" s="12" t="n">
        <f aca="false">L80*F80</f>
        <v>0</v>
      </c>
    </row>
    <row r="81" customFormat="false" ht="14.25" hidden="false" customHeight="false" outlineLevel="0" collapsed="false">
      <c r="A81" s="8" t="n">
        <v>28</v>
      </c>
      <c r="B81" s="12" t="s">
        <v>92</v>
      </c>
      <c r="C81" s="8" t="n">
        <v>25</v>
      </c>
      <c r="D81" s="8" t="s">
        <v>89</v>
      </c>
      <c r="E81" s="8" t="s">
        <v>89</v>
      </c>
      <c r="F81" s="8"/>
      <c r="G81" s="8" t="n">
        <v>6000</v>
      </c>
      <c r="H81" s="8"/>
      <c r="I81" s="8"/>
      <c r="J81" s="8"/>
      <c r="K81" s="8"/>
      <c r="L81" s="8" t="n">
        <v>900</v>
      </c>
      <c r="M81" s="8" t="n">
        <v>80</v>
      </c>
      <c r="N81" s="8" t="n">
        <v>80</v>
      </c>
      <c r="O81" s="12"/>
      <c r="P81" s="12"/>
      <c r="Q81" s="12"/>
      <c r="R81" s="12"/>
      <c r="S81" s="12" t="n">
        <f aca="false">L81*F81</f>
        <v>0</v>
      </c>
    </row>
    <row r="82" customFormat="false" ht="14.25" hidden="false" customHeight="false" outlineLevel="0" collapsed="false">
      <c r="A82" s="8" t="n">
        <v>29</v>
      </c>
      <c r="B82" s="12" t="s">
        <v>93</v>
      </c>
      <c r="C82" s="8" t="n">
        <v>100</v>
      </c>
      <c r="D82" s="8" t="s">
        <v>94</v>
      </c>
      <c r="E82" s="8" t="s">
        <v>94</v>
      </c>
      <c r="F82" s="8"/>
      <c r="G82" s="8" t="n">
        <v>2400</v>
      </c>
      <c r="H82" s="8"/>
      <c r="I82" s="8"/>
      <c r="J82" s="8"/>
      <c r="K82" s="8"/>
      <c r="L82" s="8" t="n">
        <v>925</v>
      </c>
      <c r="M82" s="8" t="n">
        <v>250</v>
      </c>
      <c r="N82" s="8" t="n">
        <v>250</v>
      </c>
      <c r="O82" s="12"/>
      <c r="P82" s="12"/>
      <c r="Q82" s="12"/>
      <c r="R82" s="12"/>
      <c r="S82" s="12" t="n">
        <f aca="false">L82*F82</f>
        <v>0</v>
      </c>
    </row>
    <row r="83" customFormat="false" ht="14.25" hidden="false" customHeight="false" outlineLevel="0" collapsed="false">
      <c r="A83" s="8" t="n">
        <v>30</v>
      </c>
      <c r="B83" s="12" t="s">
        <v>95</v>
      </c>
      <c r="C83" s="8" t="n">
        <v>100</v>
      </c>
      <c r="D83" s="8" t="s">
        <v>94</v>
      </c>
      <c r="E83" s="8" t="s">
        <v>94</v>
      </c>
      <c r="F83" s="8"/>
      <c r="G83" s="8" t="n">
        <v>3500</v>
      </c>
      <c r="H83" s="8"/>
      <c r="I83" s="8"/>
      <c r="J83" s="8"/>
      <c r="K83" s="8"/>
      <c r="L83" s="8" t="n">
        <v>925</v>
      </c>
      <c r="M83" s="8" t="n">
        <v>250</v>
      </c>
      <c r="N83" s="8" t="n">
        <v>250</v>
      </c>
      <c r="O83" s="12"/>
      <c r="P83" s="12"/>
      <c r="Q83" s="12"/>
      <c r="R83" s="12"/>
      <c r="S83" s="12" t="n">
        <f aca="false">L83*F83</f>
        <v>0</v>
      </c>
    </row>
    <row r="84" customFormat="false" ht="14.25" hidden="false" customHeight="false" outlineLevel="0" collapsed="false">
      <c r="A84" s="8" t="n">
        <v>31</v>
      </c>
      <c r="B84" s="12" t="s">
        <v>96</v>
      </c>
      <c r="C84" s="8" t="n">
        <v>100</v>
      </c>
      <c r="D84" s="8" t="s">
        <v>94</v>
      </c>
      <c r="E84" s="8" t="s">
        <v>94</v>
      </c>
      <c r="F84" s="8"/>
      <c r="G84" s="8" t="n">
        <v>3000</v>
      </c>
      <c r="H84" s="8"/>
      <c r="I84" s="8"/>
      <c r="J84" s="8"/>
      <c r="K84" s="8"/>
      <c r="L84" s="8" t="n">
        <v>925</v>
      </c>
      <c r="M84" s="8" t="n">
        <v>250</v>
      </c>
      <c r="N84" s="8" t="n">
        <v>250</v>
      </c>
      <c r="O84" s="12"/>
      <c r="P84" s="12"/>
      <c r="Q84" s="12"/>
      <c r="R84" s="12"/>
      <c r="S84" s="12" t="n">
        <f aca="false">L84*F84</f>
        <v>0</v>
      </c>
    </row>
    <row r="85" customFormat="false" ht="14.25" hidden="false" customHeight="false" outlineLevel="0" collapsed="false">
      <c r="A85" s="8" t="n">
        <v>32</v>
      </c>
      <c r="B85" s="12" t="s">
        <v>97</v>
      </c>
      <c r="C85" s="8" t="n">
        <v>100</v>
      </c>
      <c r="D85" s="8" t="s">
        <v>94</v>
      </c>
      <c r="E85" s="8" t="s">
        <v>94</v>
      </c>
      <c r="F85" s="8"/>
      <c r="G85" s="8" t="n">
        <v>5500</v>
      </c>
      <c r="H85" s="8"/>
      <c r="I85" s="8"/>
      <c r="J85" s="8"/>
      <c r="K85" s="8"/>
      <c r="L85" s="8" t="n">
        <v>900</v>
      </c>
      <c r="M85" s="8" t="n">
        <v>250</v>
      </c>
      <c r="N85" s="8" t="n">
        <v>250</v>
      </c>
      <c r="O85" s="12"/>
      <c r="P85" s="12"/>
      <c r="Q85" s="12"/>
      <c r="R85" s="12"/>
      <c r="S85" s="12" t="n">
        <f aca="false">L85*F85</f>
        <v>0</v>
      </c>
    </row>
    <row r="86" customFormat="false" ht="40.25" hidden="false" customHeight="false" outlineLevel="0" collapsed="false">
      <c r="A86" s="8"/>
      <c r="B86" s="13" t="s">
        <v>0</v>
      </c>
      <c r="C86" s="13" t="s">
        <v>1</v>
      </c>
      <c r="D86" s="14" t="s">
        <v>98</v>
      </c>
      <c r="E86" s="14" t="s">
        <v>98</v>
      </c>
      <c r="F86" s="14"/>
      <c r="G86" s="14" t="s">
        <v>99</v>
      </c>
      <c r="H86" s="14" t="s">
        <v>6</v>
      </c>
      <c r="I86" s="14"/>
      <c r="J86" s="14"/>
      <c r="K86" s="14" t="s">
        <v>8</v>
      </c>
      <c r="L86" s="14" t="s">
        <v>10</v>
      </c>
      <c r="M86" s="14" t="s">
        <v>9</v>
      </c>
      <c r="N86" s="14" t="s">
        <v>100</v>
      </c>
      <c r="O86" s="14" t="s">
        <v>101</v>
      </c>
      <c r="P86" s="14" t="s">
        <v>102</v>
      </c>
      <c r="Q86" s="14" t="s">
        <v>103</v>
      </c>
      <c r="R86" s="14" t="s">
        <v>104</v>
      </c>
      <c r="S86" s="12"/>
    </row>
    <row r="87" customFormat="false" ht="14.25" hidden="false" customHeight="false" outlineLevel="0" collapsed="false">
      <c r="A87" s="8" t="n">
        <v>1</v>
      </c>
      <c r="B87" s="12" t="s">
        <v>105</v>
      </c>
      <c r="C87" s="8" t="s">
        <v>106</v>
      </c>
      <c r="D87" s="8" t="s">
        <v>107</v>
      </c>
      <c r="E87" s="8" t="s">
        <v>107</v>
      </c>
      <c r="F87" s="8"/>
      <c r="G87" s="15" t="n">
        <v>4500</v>
      </c>
      <c r="H87" s="15" t="n">
        <f aca="false">G87*15%+G87</f>
        <v>5175</v>
      </c>
      <c r="I87" s="15"/>
      <c r="J87" s="15"/>
      <c r="K87" s="15" t="n">
        <f aca="false">H87*15%+H87</f>
        <v>5951.25</v>
      </c>
      <c r="L87" s="15"/>
      <c r="M87" s="15" t="n">
        <f aca="false">K87*15%+K87</f>
        <v>6843.9375</v>
      </c>
      <c r="N87" s="12"/>
      <c r="O87" s="15" t="n">
        <v>100</v>
      </c>
      <c r="P87" s="15" t="n">
        <v>100</v>
      </c>
      <c r="Q87" s="15" t="n">
        <v>200</v>
      </c>
      <c r="R87" s="15" t="n">
        <v>200</v>
      </c>
      <c r="S87" s="16" t="n">
        <f aca="false">M87*F87</f>
        <v>0</v>
      </c>
    </row>
    <row r="88" customFormat="false" ht="14.25" hidden="false" customHeight="false" outlineLevel="0" collapsed="false">
      <c r="A88" s="8" t="n">
        <v>2</v>
      </c>
      <c r="B88" s="12" t="s">
        <v>108</v>
      </c>
      <c r="C88" s="8" t="s">
        <v>106</v>
      </c>
      <c r="D88" s="8" t="s">
        <v>107</v>
      </c>
      <c r="E88" s="8" t="s">
        <v>107</v>
      </c>
      <c r="F88" s="8"/>
      <c r="G88" s="15" t="n">
        <v>7200</v>
      </c>
      <c r="H88" s="15" t="n">
        <f aca="false">G88*15%+G88</f>
        <v>8280</v>
      </c>
      <c r="I88" s="15"/>
      <c r="J88" s="15"/>
      <c r="K88" s="15" t="n">
        <f aca="false">H88*15%+H88</f>
        <v>9522</v>
      </c>
      <c r="L88" s="15"/>
      <c r="M88" s="15" t="n">
        <f aca="false">K88*15%+K88</f>
        <v>10950.3</v>
      </c>
      <c r="N88" s="12"/>
      <c r="O88" s="15" t="n">
        <v>125</v>
      </c>
      <c r="P88" s="15" t="n">
        <v>125</v>
      </c>
      <c r="Q88" s="15" t="n">
        <v>270</v>
      </c>
      <c r="R88" s="15" t="n">
        <v>270</v>
      </c>
      <c r="S88" s="16" t="n">
        <f aca="false">M88*F88</f>
        <v>0</v>
      </c>
    </row>
    <row r="89" customFormat="false" ht="14.25" hidden="false" customHeight="false" outlineLevel="0" collapsed="false">
      <c r="A89" s="8" t="n">
        <v>3</v>
      </c>
      <c r="B89" s="12" t="s">
        <v>40</v>
      </c>
      <c r="C89" s="8" t="s">
        <v>106</v>
      </c>
      <c r="D89" s="8" t="s">
        <v>107</v>
      </c>
      <c r="E89" s="8" t="s">
        <v>107</v>
      </c>
      <c r="F89" s="8"/>
      <c r="G89" s="15" t="n">
        <v>9500</v>
      </c>
      <c r="H89" s="15" t="n">
        <f aca="false">G89*15%+G89</f>
        <v>10925</v>
      </c>
      <c r="I89" s="15"/>
      <c r="J89" s="15"/>
      <c r="K89" s="15" t="n">
        <f aca="false">H89*15%+H89</f>
        <v>12563.75</v>
      </c>
      <c r="L89" s="15"/>
      <c r="M89" s="15" t="n">
        <f aca="false">K89*15%+K89</f>
        <v>14448.3125</v>
      </c>
      <c r="N89" s="12"/>
      <c r="O89" s="15" t="n">
        <v>175</v>
      </c>
      <c r="P89" s="15" t="n">
        <v>175</v>
      </c>
      <c r="Q89" s="15" t="n">
        <v>270</v>
      </c>
      <c r="R89" s="15" t="n">
        <v>270</v>
      </c>
      <c r="S89" s="16" t="n">
        <f aca="false">M89*F89</f>
        <v>0</v>
      </c>
    </row>
    <row r="90" customFormat="false" ht="14.25" hidden="false" customHeight="false" outlineLevel="0" collapsed="false">
      <c r="A90" s="8" t="n">
        <v>4</v>
      </c>
      <c r="B90" s="12" t="s">
        <v>109</v>
      </c>
      <c r="C90" s="8" t="s">
        <v>106</v>
      </c>
      <c r="D90" s="8" t="s">
        <v>107</v>
      </c>
      <c r="E90" s="8" t="s">
        <v>107</v>
      </c>
      <c r="F90" s="8"/>
      <c r="G90" s="15" t="n">
        <v>7500</v>
      </c>
      <c r="H90" s="15" t="n">
        <f aca="false">G90*15%+G90</f>
        <v>8625</v>
      </c>
      <c r="I90" s="15"/>
      <c r="J90" s="15"/>
      <c r="K90" s="15" t="n">
        <f aca="false">H90*15%+H90</f>
        <v>9918.75</v>
      </c>
      <c r="L90" s="15"/>
      <c r="M90" s="15" t="n">
        <f aca="false">K90*15%+K90</f>
        <v>11406.5625</v>
      </c>
      <c r="N90" s="12"/>
      <c r="O90" s="15" t="n">
        <v>137.5</v>
      </c>
      <c r="P90" s="15" t="n">
        <v>137.5</v>
      </c>
      <c r="Q90" s="15" t="n">
        <v>270</v>
      </c>
      <c r="R90" s="15" t="n">
        <v>270</v>
      </c>
      <c r="S90" s="16" t="n">
        <f aca="false">M90*F90</f>
        <v>0</v>
      </c>
    </row>
    <row r="91" customFormat="false" ht="14.25" hidden="false" customHeight="false" outlineLevel="0" collapsed="false">
      <c r="A91" s="8" t="n">
        <v>5</v>
      </c>
      <c r="B91" s="12" t="s">
        <v>110</v>
      </c>
      <c r="C91" s="8" t="s">
        <v>106</v>
      </c>
      <c r="D91" s="8" t="s">
        <v>107</v>
      </c>
      <c r="E91" s="8" t="s">
        <v>107</v>
      </c>
      <c r="F91" s="8"/>
      <c r="G91" s="15" t="n">
        <v>6500</v>
      </c>
      <c r="H91" s="15" t="n">
        <f aca="false">G91*15%+G91</f>
        <v>7475</v>
      </c>
      <c r="I91" s="15"/>
      <c r="J91" s="15"/>
      <c r="K91" s="15" t="n">
        <f aca="false">H91*15%+H91</f>
        <v>8596.25</v>
      </c>
      <c r="L91" s="15"/>
      <c r="M91" s="15" t="n">
        <f aca="false">K91*15%+K91</f>
        <v>9885.6875</v>
      </c>
      <c r="N91" s="12"/>
      <c r="O91" s="15" t="n">
        <v>137.5</v>
      </c>
      <c r="P91" s="15" t="n">
        <v>137.5</v>
      </c>
      <c r="Q91" s="15" t="n">
        <v>270</v>
      </c>
      <c r="R91" s="15" t="n">
        <v>270</v>
      </c>
      <c r="S91" s="16" t="n">
        <f aca="false">M91*F91</f>
        <v>0</v>
      </c>
    </row>
    <row r="92" customFormat="false" ht="14.25" hidden="false" customHeight="false" outlineLevel="0" collapsed="false">
      <c r="A92" s="8" t="n">
        <v>6</v>
      </c>
      <c r="B92" s="12" t="s">
        <v>111</v>
      </c>
      <c r="C92" s="8" t="s">
        <v>106</v>
      </c>
      <c r="D92" s="8" t="s">
        <v>107</v>
      </c>
      <c r="E92" s="8" t="s">
        <v>107</v>
      </c>
      <c r="F92" s="8"/>
      <c r="G92" s="15" t="n">
        <v>17500</v>
      </c>
      <c r="H92" s="15" t="n">
        <f aca="false">G92*15%+G92</f>
        <v>20125</v>
      </c>
      <c r="I92" s="15"/>
      <c r="J92" s="15"/>
      <c r="K92" s="15" t="n">
        <f aca="false">H92*15%+H92</f>
        <v>23143.75</v>
      </c>
      <c r="L92" s="15"/>
      <c r="M92" s="15" t="n">
        <f aca="false">K92*15%+K92</f>
        <v>26615.3125</v>
      </c>
      <c r="N92" s="12"/>
      <c r="O92" s="15" t="n">
        <v>225</v>
      </c>
      <c r="P92" s="15" t="n">
        <v>225</v>
      </c>
      <c r="Q92" s="15" t="n">
        <v>270</v>
      </c>
      <c r="R92" s="15" t="n">
        <v>270</v>
      </c>
      <c r="S92" s="16" t="n">
        <f aca="false">M92*F92</f>
        <v>0</v>
      </c>
    </row>
    <row r="93" customFormat="false" ht="14.25" hidden="false" customHeight="false" outlineLevel="0" collapsed="false">
      <c r="A93" s="8" t="n">
        <v>7</v>
      </c>
      <c r="B93" s="12" t="s">
        <v>112</v>
      </c>
      <c r="C93" s="8" t="s">
        <v>106</v>
      </c>
      <c r="D93" s="8" t="s">
        <v>107</v>
      </c>
      <c r="E93" s="8" t="s">
        <v>107</v>
      </c>
      <c r="F93" s="8"/>
      <c r="G93" s="15" t="n">
        <v>41500</v>
      </c>
      <c r="H93" s="15" t="n">
        <f aca="false">G93*15%+G93</f>
        <v>47725</v>
      </c>
      <c r="I93" s="15"/>
      <c r="J93" s="15"/>
      <c r="K93" s="15" t="n">
        <f aca="false">H93*15%+H93</f>
        <v>54883.75</v>
      </c>
      <c r="L93" s="15"/>
      <c r="M93" s="15" t="n">
        <f aca="false">K93*15%+K93</f>
        <v>63116.3125</v>
      </c>
      <c r="N93" s="12"/>
      <c r="O93" s="15" t="n">
        <v>500</v>
      </c>
      <c r="P93" s="15" t="n">
        <v>500</v>
      </c>
      <c r="Q93" s="15" t="n">
        <v>340</v>
      </c>
      <c r="R93" s="15" t="n">
        <v>340</v>
      </c>
      <c r="S93" s="16" t="n">
        <f aca="false">M93*F93</f>
        <v>0</v>
      </c>
    </row>
    <row r="94" customFormat="false" ht="14.25" hidden="false" customHeight="false" outlineLevel="0" collapsed="false">
      <c r="A94" s="8" t="n">
        <v>8</v>
      </c>
      <c r="B94" s="12" t="s">
        <v>113</v>
      </c>
      <c r="C94" s="8" t="s">
        <v>106</v>
      </c>
      <c r="D94" s="8" t="s">
        <v>107</v>
      </c>
      <c r="E94" s="8" t="s">
        <v>107</v>
      </c>
      <c r="F94" s="8"/>
      <c r="G94" s="15" t="n">
        <v>14000</v>
      </c>
      <c r="H94" s="15" t="n">
        <f aca="false">G94*15%+G94</f>
        <v>16100</v>
      </c>
      <c r="I94" s="15"/>
      <c r="J94" s="15"/>
      <c r="K94" s="15" t="n">
        <f aca="false">H94*15%+H94</f>
        <v>18515</v>
      </c>
      <c r="L94" s="15"/>
      <c r="M94" s="15" t="n">
        <f aca="false">K94*15%+K94</f>
        <v>21292.25</v>
      </c>
      <c r="N94" s="12"/>
      <c r="O94" s="15" t="n">
        <v>225</v>
      </c>
      <c r="P94" s="15" t="n">
        <v>225</v>
      </c>
      <c r="Q94" s="15" t="n">
        <v>340</v>
      </c>
      <c r="R94" s="15" t="n">
        <v>340</v>
      </c>
      <c r="S94" s="16" t="n">
        <f aca="false">M94*F94</f>
        <v>0</v>
      </c>
    </row>
    <row r="95" customFormat="false" ht="14.25" hidden="false" customHeight="false" outlineLevel="0" collapsed="false">
      <c r="A95" s="8" t="n">
        <v>9</v>
      </c>
      <c r="B95" s="12" t="s">
        <v>114</v>
      </c>
      <c r="C95" s="8" t="s">
        <v>106</v>
      </c>
      <c r="D95" s="8" t="s">
        <v>107</v>
      </c>
      <c r="E95" s="8" t="s">
        <v>107</v>
      </c>
      <c r="F95" s="8"/>
      <c r="G95" s="15" t="n">
        <v>8800</v>
      </c>
      <c r="H95" s="15" t="n">
        <f aca="false">G95*15%+G95</f>
        <v>10120</v>
      </c>
      <c r="I95" s="15"/>
      <c r="J95" s="15"/>
      <c r="K95" s="15" t="n">
        <f aca="false">H95*15%+H95</f>
        <v>11638</v>
      </c>
      <c r="L95" s="15"/>
      <c r="M95" s="15" t="n">
        <f aca="false">K95*15%+K95</f>
        <v>13383.7</v>
      </c>
      <c r="N95" s="12"/>
      <c r="O95" s="15" t="n">
        <v>150</v>
      </c>
      <c r="P95" s="15" t="n">
        <v>150</v>
      </c>
      <c r="Q95" s="15" t="n">
        <v>340</v>
      </c>
      <c r="R95" s="15" t="n">
        <v>340</v>
      </c>
      <c r="S95" s="16" t="n">
        <f aca="false">M95*F95</f>
        <v>0</v>
      </c>
    </row>
    <row r="96" customFormat="false" ht="14.25" hidden="false" customHeight="false" outlineLevel="0" collapsed="false">
      <c r="A96" s="8" t="n">
        <v>10</v>
      </c>
      <c r="B96" s="12" t="s">
        <v>115</v>
      </c>
      <c r="C96" s="8" t="s">
        <v>106</v>
      </c>
      <c r="D96" s="8" t="s">
        <v>107</v>
      </c>
      <c r="E96" s="8" t="s">
        <v>107</v>
      </c>
      <c r="F96" s="8"/>
      <c r="G96" s="15" t="n">
        <v>10990</v>
      </c>
      <c r="H96" s="15" t="n">
        <f aca="false">G96*15%+G96</f>
        <v>12638.5</v>
      </c>
      <c r="I96" s="15"/>
      <c r="J96" s="15"/>
      <c r="K96" s="15" t="n">
        <f aca="false">H96*15%+H96</f>
        <v>14534.275</v>
      </c>
      <c r="L96" s="15"/>
      <c r="M96" s="15" t="n">
        <f aca="false">K96*15%+K96</f>
        <v>16714.41625</v>
      </c>
      <c r="N96" s="12"/>
      <c r="O96" s="15" t="n">
        <v>175</v>
      </c>
      <c r="P96" s="15" t="n">
        <v>175</v>
      </c>
      <c r="Q96" s="15" t="n">
        <v>340</v>
      </c>
      <c r="R96" s="15" t="n">
        <v>340</v>
      </c>
      <c r="S96" s="16" t="n">
        <f aca="false">M96*F96</f>
        <v>0</v>
      </c>
    </row>
    <row r="97" customFormat="false" ht="14.25" hidden="false" customHeight="false" outlineLevel="0" collapsed="false">
      <c r="A97" s="8" t="n">
        <v>11</v>
      </c>
      <c r="B97" s="12" t="s">
        <v>116</v>
      </c>
      <c r="C97" s="8" t="s">
        <v>106</v>
      </c>
      <c r="D97" s="8" t="s">
        <v>107</v>
      </c>
      <c r="E97" s="8" t="s">
        <v>107</v>
      </c>
      <c r="F97" s="8"/>
      <c r="G97" s="15" t="n">
        <v>10000</v>
      </c>
      <c r="H97" s="15" t="n">
        <f aca="false">G97*15%+G97</f>
        <v>11500</v>
      </c>
      <c r="I97" s="15"/>
      <c r="J97" s="15"/>
      <c r="K97" s="15" t="n">
        <f aca="false">H97*15%+H97</f>
        <v>13225</v>
      </c>
      <c r="L97" s="15"/>
      <c r="M97" s="15" t="n">
        <f aca="false">K97*15%+K97</f>
        <v>15208.75</v>
      </c>
      <c r="N97" s="12"/>
      <c r="O97" s="15" t="n">
        <v>162.5</v>
      </c>
      <c r="P97" s="15" t="n">
        <v>162.5</v>
      </c>
      <c r="Q97" s="15" t="n">
        <v>340</v>
      </c>
      <c r="R97" s="15" t="n">
        <v>340</v>
      </c>
      <c r="S97" s="16" t="n">
        <f aca="false">M97*F97</f>
        <v>0</v>
      </c>
    </row>
    <row r="98" s="18" customFormat="true" ht="14.25" hidden="false" customHeight="false" outlineLevel="0" collapsed="false">
      <c r="A98" s="8" t="n">
        <v>12</v>
      </c>
      <c r="B98" s="12" t="s">
        <v>117</v>
      </c>
      <c r="C98" s="8" t="s">
        <v>106</v>
      </c>
      <c r="D98" s="8" t="s">
        <v>107</v>
      </c>
      <c r="E98" s="8" t="s">
        <v>107</v>
      </c>
      <c r="F98" s="8"/>
      <c r="G98" s="17" t="n">
        <v>6260</v>
      </c>
      <c r="H98" s="15" t="n">
        <f aca="false">G98*15%+G98</f>
        <v>7199</v>
      </c>
      <c r="I98" s="15"/>
      <c r="J98" s="15"/>
      <c r="K98" s="15" t="n">
        <f aca="false">H98*15%+H98</f>
        <v>8278.85</v>
      </c>
      <c r="L98" s="15"/>
      <c r="M98" s="15" t="n">
        <f aca="false">K98*15%+K98</f>
        <v>9520.6775</v>
      </c>
      <c r="N98" s="12"/>
      <c r="O98" s="15" t="n">
        <v>150</v>
      </c>
      <c r="P98" s="15" t="n">
        <v>150</v>
      </c>
      <c r="Q98" s="15" t="n">
        <v>340</v>
      </c>
      <c r="R98" s="15" t="n">
        <v>340</v>
      </c>
      <c r="S98" s="16" t="n">
        <f aca="false">M98*F98</f>
        <v>0</v>
      </c>
    </row>
    <row r="99" customFormat="false" ht="14.25" hidden="false" customHeight="false" outlineLevel="0" collapsed="false">
      <c r="A99" s="8" t="n">
        <v>13</v>
      </c>
      <c r="B99" s="12" t="s">
        <v>118</v>
      </c>
      <c r="C99" s="8" t="s">
        <v>106</v>
      </c>
      <c r="D99" s="8" t="s">
        <v>107</v>
      </c>
      <c r="E99" s="8" t="s">
        <v>107</v>
      </c>
      <c r="F99" s="8"/>
      <c r="G99" s="15" t="n">
        <v>13900</v>
      </c>
      <c r="H99" s="15" t="n">
        <f aca="false">G99*15%+G99</f>
        <v>15985</v>
      </c>
      <c r="I99" s="15"/>
      <c r="J99" s="15"/>
      <c r="K99" s="15" t="n">
        <f aca="false">H99*15%+H99</f>
        <v>18382.75</v>
      </c>
      <c r="L99" s="15"/>
      <c r="M99" s="15" t="n">
        <f aca="false">K99*15%+K99</f>
        <v>21140.1625</v>
      </c>
      <c r="N99" s="12"/>
      <c r="O99" s="15" t="n">
        <v>225</v>
      </c>
      <c r="P99" s="15" t="n">
        <v>225</v>
      </c>
      <c r="Q99" s="15" t="n">
        <v>400</v>
      </c>
      <c r="R99" s="15" t="n">
        <v>400</v>
      </c>
      <c r="S99" s="16" t="n">
        <f aca="false">M99*F99</f>
        <v>0</v>
      </c>
    </row>
    <row r="100" customFormat="false" ht="14.25" hidden="false" customHeight="false" outlineLevel="0" collapsed="false">
      <c r="A100" s="8" t="n">
        <v>14</v>
      </c>
      <c r="B100" s="12" t="s">
        <v>119</v>
      </c>
      <c r="C100" s="8" t="s">
        <v>106</v>
      </c>
      <c r="D100" s="8" t="s">
        <v>107</v>
      </c>
      <c r="E100" s="8" t="s">
        <v>107</v>
      </c>
      <c r="F100" s="8"/>
      <c r="G100" s="15" t="n">
        <v>4550</v>
      </c>
      <c r="H100" s="15" t="n">
        <f aca="false">G100*15%+G100</f>
        <v>5232.5</v>
      </c>
      <c r="I100" s="15"/>
      <c r="J100" s="15"/>
      <c r="K100" s="15" t="n">
        <f aca="false">H100*15%+H100</f>
        <v>6017.375</v>
      </c>
      <c r="L100" s="15"/>
      <c r="M100" s="15" t="n">
        <f aca="false">K100*15%+K100</f>
        <v>6919.98125</v>
      </c>
      <c r="N100" s="12"/>
      <c r="O100" s="15" t="n">
        <v>175</v>
      </c>
      <c r="P100" s="15" t="n">
        <v>175</v>
      </c>
      <c r="Q100" s="15" t="n">
        <v>400</v>
      </c>
      <c r="R100" s="15" t="n">
        <v>400</v>
      </c>
      <c r="S100" s="16" t="n">
        <f aca="false">M100*F100</f>
        <v>0</v>
      </c>
    </row>
    <row r="101" customFormat="false" ht="14.25" hidden="false" customHeight="false" outlineLevel="0" collapsed="false">
      <c r="A101" s="8" t="n">
        <v>15</v>
      </c>
      <c r="B101" s="12" t="s">
        <v>120</v>
      </c>
      <c r="C101" s="8" t="s">
        <v>106</v>
      </c>
      <c r="D101" s="8" t="s">
        <v>107</v>
      </c>
      <c r="E101" s="8" t="s">
        <v>107</v>
      </c>
      <c r="F101" s="8"/>
      <c r="G101" s="15" t="n">
        <v>7650</v>
      </c>
      <c r="H101" s="15" t="n">
        <f aca="false">G101*15%+G101</f>
        <v>8797.5</v>
      </c>
      <c r="I101" s="15"/>
      <c r="J101" s="15"/>
      <c r="K101" s="15" t="n">
        <f aca="false">H101*15%+H101</f>
        <v>10117.125</v>
      </c>
      <c r="L101" s="15"/>
      <c r="M101" s="15" t="n">
        <f aca="false">K101*15%+K101</f>
        <v>11634.69375</v>
      </c>
      <c r="N101" s="12"/>
      <c r="O101" s="15" t="n">
        <v>162.5</v>
      </c>
      <c r="P101" s="15" t="n">
        <v>162.5</v>
      </c>
      <c r="Q101" s="15" t="n">
        <v>400</v>
      </c>
      <c r="R101" s="15" t="n">
        <v>400</v>
      </c>
      <c r="S101" s="16" t="n">
        <f aca="false">M101*F101</f>
        <v>0</v>
      </c>
    </row>
    <row r="102" customFormat="false" ht="14.25" hidden="false" customHeight="false" outlineLevel="0" collapsed="false">
      <c r="A102" s="8" t="n">
        <v>16</v>
      </c>
      <c r="B102" s="12" t="s">
        <v>121</v>
      </c>
      <c r="C102" s="8" t="s">
        <v>106</v>
      </c>
      <c r="D102" s="8" t="s">
        <v>107</v>
      </c>
      <c r="E102" s="8" t="s">
        <v>107</v>
      </c>
      <c r="F102" s="8"/>
      <c r="G102" s="15" t="n">
        <v>4150</v>
      </c>
      <c r="H102" s="15" t="n">
        <f aca="false">G102*15%+G102</f>
        <v>4772.5</v>
      </c>
      <c r="I102" s="15"/>
      <c r="J102" s="15"/>
      <c r="K102" s="15" t="n">
        <f aca="false">H102*15%+H102</f>
        <v>5488.375</v>
      </c>
      <c r="L102" s="15"/>
      <c r="M102" s="15" t="n">
        <f aca="false">K102*15%+K102</f>
        <v>6311.63125</v>
      </c>
      <c r="N102" s="12"/>
      <c r="O102" s="15" t="n">
        <v>125</v>
      </c>
      <c r="P102" s="15" t="n">
        <v>125</v>
      </c>
      <c r="Q102" s="15" t="n">
        <v>400</v>
      </c>
      <c r="R102" s="15" t="n">
        <v>400</v>
      </c>
      <c r="S102" s="16" t="n">
        <f aca="false">M102*F102</f>
        <v>0</v>
      </c>
    </row>
    <row r="103" customFormat="false" ht="14.25" hidden="false" customHeight="false" outlineLevel="0" collapsed="false">
      <c r="A103" s="8" t="n">
        <v>17</v>
      </c>
      <c r="B103" s="12" t="s">
        <v>122</v>
      </c>
      <c r="C103" s="8" t="s">
        <v>106</v>
      </c>
      <c r="D103" s="8" t="s">
        <v>107</v>
      </c>
      <c r="E103" s="8" t="s">
        <v>107</v>
      </c>
      <c r="F103" s="8"/>
      <c r="G103" s="15" t="n">
        <v>5500</v>
      </c>
      <c r="H103" s="15" t="n">
        <f aca="false">G103*15%+G103</f>
        <v>6325</v>
      </c>
      <c r="I103" s="15"/>
      <c r="J103" s="15"/>
      <c r="K103" s="15" t="n">
        <f aca="false">H103*15%+H103</f>
        <v>7273.75</v>
      </c>
      <c r="L103" s="15"/>
      <c r="M103" s="15" t="n">
        <f aca="false">K103*15%+K103</f>
        <v>8364.8125</v>
      </c>
      <c r="N103" s="12"/>
      <c r="O103" s="15" t="n">
        <v>125</v>
      </c>
      <c r="P103" s="15" t="n">
        <v>125</v>
      </c>
      <c r="Q103" s="15" t="n">
        <v>400</v>
      </c>
      <c r="R103" s="15" t="n">
        <v>400</v>
      </c>
      <c r="S103" s="16" t="n">
        <f aca="false">M103*F103</f>
        <v>0</v>
      </c>
    </row>
    <row r="104" customFormat="false" ht="14.25" hidden="false" customHeight="false" outlineLevel="0" collapsed="false">
      <c r="A104" s="8" t="n">
        <v>18</v>
      </c>
      <c r="B104" s="12" t="s">
        <v>123</v>
      </c>
      <c r="C104" s="8" t="s">
        <v>106</v>
      </c>
      <c r="D104" s="8" t="s">
        <v>107</v>
      </c>
      <c r="E104" s="8" t="s">
        <v>107</v>
      </c>
      <c r="F104" s="8"/>
      <c r="G104" s="15" t="n">
        <v>14600</v>
      </c>
      <c r="H104" s="15" t="n">
        <f aca="false">G104*15%+G104</f>
        <v>16790</v>
      </c>
      <c r="I104" s="15"/>
      <c r="J104" s="15"/>
      <c r="K104" s="15" t="n">
        <f aca="false">H104*15%+H104</f>
        <v>19308.5</v>
      </c>
      <c r="L104" s="15"/>
      <c r="M104" s="15" t="n">
        <f aca="false">K104*15%+K104</f>
        <v>22204.775</v>
      </c>
      <c r="N104" s="12"/>
      <c r="O104" s="15" t="n">
        <v>225</v>
      </c>
      <c r="P104" s="15" t="n">
        <v>225</v>
      </c>
      <c r="Q104" s="15" t="n">
        <v>470</v>
      </c>
      <c r="R104" s="15" t="n">
        <v>470</v>
      </c>
      <c r="S104" s="16" t="n">
        <f aca="false">M104*F104</f>
        <v>0</v>
      </c>
    </row>
    <row r="105" customFormat="false" ht="14.25" hidden="false" customHeight="false" outlineLevel="0" collapsed="false">
      <c r="A105" s="8" t="n">
        <v>19</v>
      </c>
      <c r="B105" s="12" t="s">
        <v>124</v>
      </c>
      <c r="C105" s="8" t="s">
        <v>106</v>
      </c>
      <c r="D105" s="8" t="s">
        <v>107</v>
      </c>
      <c r="E105" s="8" t="s">
        <v>107</v>
      </c>
      <c r="F105" s="19"/>
      <c r="G105" s="15" t="n">
        <v>6300</v>
      </c>
      <c r="H105" s="15" t="n">
        <f aca="false">G105*15%+G105</f>
        <v>7245</v>
      </c>
      <c r="I105" s="15"/>
      <c r="J105" s="15"/>
      <c r="K105" s="15" t="n">
        <f aca="false">H105*15%+H105</f>
        <v>8331.75</v>
      </c>
      <c r="L105" s="15"/>
      <c r="M105" s="15" t="n">
        <f aca="false">K105*15%+K105</f>
        <v>9581.5125</v>
      </c>
      <c r="N105" s="12"/>
      <c r="O105" s="15" t="n">
        <v>225</v>
      </c>
      <c r="P105" s="15" t="n">
        <v>225</v>
      </c>
      <c r="Q105" s="15" t="n">
        <v>470</v>
      </c>
      <c r="R105" s="15" t="n">
        <v>470</v>
      </c>
      <c r="S105" s="16" t="n">
        <f aca="false">M105*F105</f>
        <v>0</v>
      </c>
    </row>
    <row r="106" customFormat="false" ht="14.25" hidden="false" customHeight="false" outlineLevel="0" collapsed="false">
      <c r="A106" s="8" t="n">
        <v>20</v>
      </c>
      <c r="B106" s="12" t="s">
        <v>125</v>
      </c>
      <c r="C106" s="8" t="s">
        <v>106</v>
      </c>
      <c r="D106" s="8" t="s">
        <v>107</v>
      </c>
      <c r="E106" s="8" t="s">
        <v>107</v>
      </c>
      <c r="F106" s="8"/>
      <c r="G106" s="15" t="n">
        <v>9680</v>
      </c>
      <c r="H106" s="15" t="n">
        <f aca="false">G106*15%+G106</f>
        <v>11132</v>
      </c>
      <c r="I106" s="15"/>
      <c r="J106" s="15"/>
      <c r="K106" s="15" t="n">
        <f aca="false">H106*15%+H106</f>
        <v>12801.8</v>
      </c>
      <c r="L106" s="15"/>
      <c r="M106" s="15" t="n">
        <f aca="false">K106*15%+K106</f>
        <v>14722.07</v>
      </c>
      <c r="N106" s="12"/>
      <c r="O106" s="15" t="n">
        <v>200</v>
      </c>
      <c r="P106" s="15" t="n">
        <v>200</v>
      </c>
      <c r="Q106" s="15" t="n">
        <v>470</v>
      </c>
      <c r="R106" s="15" t="n">
        <v>470</v>
      </c>
      <c r="S106" s="16" t="n">
        <f aca="false">M106*F106</f>
        <v>0</v>
      </c>
    </row>
    <row r="107" customFormat="false" ht="14.25" hidden="false" customHeight="false" outlineLevel="0" collapsed="false">
      <c r="A107" s="8" t="n">
        <v>21</v>
      </c>
      <c r="B107" s="12" t="s">
        <v>126</v>
      </c>
      <c r="C107" s="8" t="s">
        <v>106</v>
      </c>
      <c r="D107" s="8" t="s">
        <v>107</v>
      </c>
      <c r="E107" s="8" t="s">
        <v>107</v>
      </c>
      <c r="F107" s="8"/>
      <c r="G107" s="15" t="n">
        <v>5590</v>
      </c>
      <c r="H107" s="15" t="n">
        <f aca="false">G107*15%+G107</f>
        <v>6428.5</v>
      </c>
      <c r="I107" s="15"/>
      <c r="J107" s="15"/>
      <c r="K107" s="15" t="n">
        <f aca="false">H107*15%+H107</f>
        <v>7392.775</v>
      </c>
      <c r="L107" s="15"/>
      <c r="M107" s="15" t="n">
        <f aca="false">K107*15%+K107</f>
        <v>8501.69125</v>
      </c>
      <c r="N107" s="12"/>
      <c r="O107" s="15" t="n">
        <v>175</v>
      </c>
      <c r="P107" s="15" t="n">
        <v>175</v>
      </c>
      <c r="Q107" s="15" t="n">
        <v>540</v>
      </c>
      <c r="R107" s="15" t="n">
        <v>540</v>
      </c>
      <c r="S107" s="16" t="n">
        <f aca="false">M107*F107</f>
        <v>0</v>
      </c>
    </row>
    <row r="108" customFormat="false" ht="14.25" hidden="false" customHeight="false" outlineLevel="0" collapsed="false">
      <c r="A108" s="8" t="n">
        <v>22</v>
      </c>
      <c r="B108" s="12" t="s">
        <v>127</v>
      </c>
      <c r="C108" s="8" t="s">
        <v>106</v>
      </c>
      <c r="D108" s="8" t="s">
        <v>107</v>
      </c>
      <c r="E108" s="8" t="s">
        <v>107</v>
      </c>
      <c r="F108" s="19"/>
      <c r="G108" s="15" t="n">
        <v>7920</v>
      </c>
      <c r="H108" s="15" t="n">
        <f aca="false">G108*15%+G108</f>
        <v>9108</v>
      </c>
      <c r="I108" s="15"/>
      <c r="J108" s="15"/>
      <c r="K108" s="15" t="n">
        <f aca="false">H108*15%+H108</f>
        <v>10474.2</v>
      </c>
      <c r="L108" s="15"/>
      <c r="M108" s="15" t="n">
        <f aca="false">K108*15%+K108</f>
        <v>12045.33</v>
      </c>
      <c r="N108" s="12"/>
      <c r="O108" s="15" t="n">
        <v>250</v>
      </c>
      <c r="P108" s="15" t="n">
        <v>250</v>
      </c>
      <c r="Q108" s="15" t="n">
        <v>540</v>
      </c>
      <c r="R108" s="15" t="n">
        <v>540</v>
      </c>
      <c r="S108" s="16" t="n">
        <f aca="false">M108*F108</f>
        <v>0</v>
      </c>
    </row>
    <row r="109" customFormat="false" ht="14.25" hidden="false" customHeight="false" outlineLevel="0" collapsed="false">
      <c r="A109" s="8" t="n">
        <v>23</v>
      </c>
      <c r="B109" s="12" t="s">
        <v>128</v>
      </c>
      <c r="C109" s="8" t="s">
        <v>106</v>
      </c>
      <c r="D109" s="8" t="s">
        <v>107</v>
      </c>
      <c r="E109" s="8" t="s">
        <v>107</v>
      </c>
      <c r="F109" s="8"/>
      <c r="G109" s="15" t="n">
        <v>6550</v>
      </c>
      <c r="H109" s="15" t="n">
        <f aca="false">G109*15%+G109</f>
        <v>7532.5</v>
      </c>
      <c r="I109" s="15"/>
      <c r="J109" s="15"/>
      <c r="K109" s="15" t="n">
        <f aca="false">H109*15%+H109</f>
        <v>8662.375</v>
      </c>
      <c r="L109" s="15"/>
      <c r="M109" s="15" t="n">
        <f aca="false">K109*15%+K109</f>
        <v>9961.73125</v>
      </c>
      <c r="N109" s="12"/>
      <c r="O109" s="15" t="n">
        <v>175</v>
      </c>
      <c r="P109" s="15" t="n">
        <v>175</v>
      </c>
      <c r="Q109" s="15" t="n">
        <v>540</v>
      </c>
      <c r="R109" s="15" t="n">
        <v>540</v>
      </c>
      <c r="S109" s="16" t="n">
        <f aca="false">M109*F109</f>
        <v>0</v>
      </c>
    </row>
    <row r="110" customFormat="false" ht="14.25" hidden="false" customHeight="false" outlineLevel="0" collapsed="false">
      <c r="A110" s="8" t="n">
        <v>24</v>
      </c>
      <c r="B110" s="12" t="s">
        <v>129</v>
      </c>
      <c r="C110" s="8" t="s">
        <v>106</v>
      </c>
      <c r="D110" s="8" t="s">
        <v>107</v>
      </c>
      <c r="E110" s="8" t="s">
        <v>107</v>
      </c>
      <c r="F110" s="19"/>
      <c r="G110" s="15" t="n">
        <v>3850</v>
      </c>
      <c r="H110" s="15" t="n">
        <f aca="false">G110*15%+G110</f>
        <v>4427.5</v>
      </c>
      <c r="I110" s="15"/>
      <c r="J110" s="15"/>
      <c r="K110" s="15" t="n">
        <f aca="false">H110*15%+H110</f>
        <v>5091.625</v>
      </c>
      <c r="L110" s="15"/>
      <c r="M110" s="15" t="n">
        <f aca="false">K110*15%+K110</f>
        <v>5855.36875</v>
      </c>
      <c r="N110" s="12"/>
      <c r="O110" s="15" t="n">
        <v>175</v>
      </c>
      <c r="P110" s="15" t="n">
        <v>175</v>
      </c>
      <c r="Q110" s="15" t="n">
        <v>540</v>
      </c>
      <c r="R110" s="15" t="n">
        <v>540</v>
      </c>
      <c r="S110" s="16" t="n">
        <f aca="false">M110*F110</f>
        <v>0</v>
      </c>
    </row>
    <row r="111" customFormat="false" ht="14.25" hidden="false" customHeight="false" outlineLevel="0" collapsed="false">
      <c r="A111" s="8" t="n">
        <v>25</v>
      </c>
      <c r="B111" s="12" t="s">
        <v>130</v>
      </c>
      <c r="C111" s="8" t="s">
        <v>106</v>
      </c>
      <c r="D111" s="8" t="s">
        <v>107</v>
      </c>
      <c r="E111" s="8" t="s">
        <v>107</v>
      </c>
      <c r="F111" s="19"/>
      <c r="G111" s="15" t="n">
        <v>3250</v>
      </c>
      <c r="H111" s="15" t="n">
        <f aca="false">G111*15%+G111</f>
        <v>3737.5</v>
      </c>
      <c r="I111" s="15"/>
      <c r="J111" s="15"/>
      <c r="K111" s="15" t="n">
        <f aca="false">H111*15%+H111</f>
        <v>4298.125</v>
      </c>
      <c r="L111" s="15"/>
      <c r="M111" s="15" t="n">
        <f aca="false">K111*15%+K111</f>
        <v>4942.84375</v>
      </c>
      <c r="N111" s="12"/>
      <c r="O111" s="15" t="n">
        <v>200</v>
      </c>
      <c r="P111" s="15" t="n">
        <v>200</v>
      </c>
      <c r="Q111" s="15" t="n">
        <v>540</v>
      </c>
      <c r="R111" s="15" t="n">
        <v>540</v>
      </c>
      <c r="S111" s="16" t="n">
        <f aca="false">M111*F111</f>
        <v>0</v>
      </c>
    </row>
    <row r="112" customFormat="false" ht="14.25" hidden="false" customHeight="false" outlineLevel="0" collapsed="false">
      <c r="A112" s="8" t="n">
        <v>26</v>
      </c>
      <c r="B112" s="12" t="s">
        <v>131</v>
      </c>
      <c r="C112" s="8" t="s">
        <v>106</v>
      </c>
      <c r="D112" s="8" t="s">
        <v>107</v>
      </c>
      <c r="E112" s="8" t="s">
        <v>107</v>
      </c>
      <c r="F112" s="19"/>
      <c r="G112" s="15" t="n">
        <v>3450</v>
      </c>
      <c r="H112" s="15" t="n">
        <f aca="false">G112*15%+G112</f>
        <v>3967.5</v>
      </c>
      <c r="I112" s="15"/>
      <c r="J112" s="15"/>
      <c r="K112" s="15" t="n">
        <f aca="false">H112*15%+H112</f>
        <v>4562.625</v>
      </c>
      <c r="L112" s="15"/>
      <c r="M112" s="15" t="n">
        <f aca="false">K112*15%+K112</f>
        <v>5247.01875</v>
      </c>
      <c r="N112" s="12"/>
      <c r="O112" s="15" t="n">
        <v>150</v>
      </c>
      <c r="P112" s="15" t="n">
        <v>150</v>
      </c>
      <c r="Q112" s="15" t="n">
        <v>540</v>
      </c>
      <c r="R112" s="15" t="n">
        <v>540</v>
      </c>
      <c r="S112" s="16" t="n">
        <f aca="false">M112*F112</f>
        <v>0</v>
      </c>
    </row>
    <row r="113" customFormat="false" ht="14.25" hidden="false" customHeight="false" outlineLevel="0" collapsed="false">
      <c r="A113" s="8" t="n">
        <v>27</v>
      </c>
      <c r="B113" s="12" t="s">
        <v>132</v>
      </c>
      <c r="C113" s="8" t="s">
        <v>106</v>
      </c>
      <c r="D113" s="8" t="s">
        <v>107</v>
      </c>
      <c r="E113" s="8" t="s">
        <v>107</v>
      </c>
      <c r="F113" s="19"/>
      <c r="G113" s="15" t="n">
        <v>6250</v>
      </c>
      <c r="H113" s="15" t="n">
        <f aca="false">G113*15%+G113</f>
        <v>7187.5</v>
      </c>
      <c r="I113" s="15"/>
      <c r="J113" s="15"/>
      <c r="K113" s="15" t="n">
        <f aca="false">H113*15%+H113</f>
        <v>8265.625</v>
      </c>
      <c r="L113" s="15"/>
      <c r="M113" s="15" t="n">
        <f aca="false">K113*15%+K113</f>
        <v>9505.46875</v>
      </c>
      <c r="N113" s="12"/>
      <c r="O113" s="15" t="n">
        <v>225</v>
      </c>
      <c r="P113" s="15" t="n">
        <v>225</v>
      </c>
      <c r="Q113" s="15" t="n">
        <v>540</v>
      </c>
      <c r="R113" s="15" t="n">
        <v>540</v>
      </c>
      <c r="S113" s="16" t="n">
        <f aca="false">M113*F113</f>
        <v>0</v>
      </c>
    </row>
    <row r="114" customFormat="false" ht="14.25" hidden="false" customHeight="false" outlineLevel="0" collapsed="false">
      <c r="A114" s="8" t="n">
        <v>28</v>
      </c>
      <c r="B114" s="12" t="s">
        <v>133</v>
      </c>
      <c r="C114" s="8" t="s">
        <v>106</v>
      </c>
      <c r="D114" s="8" t="s">
        <v>107</v>
      </c>
      <c r="E114" s="8" t="s">
        <v>107</v>
      </c>
      <c r="F114" s="19"/>
      <c r="G114" s="15" t="n">
        <v>4250</v>
      </c>
      <c r="H114" s="15" t="n">
        <f aca="false">G114*15%+G114</f>
        <v>4887.5</v>
      </c>
      <c r="I114" s="15"/>
      <c r="J114" s="15"/>
      <c r="K114" s="15" t="n">
        <f aca="false">H114*15%+H114</f>
        <v>5620.625</v>
      </c>
      <c r="L114" s="15"/>
      <c r="M114" s="15" t="n">
        <f aca="false">K114*15%+K114</f>
        <v>6463.71875</v>
      </c>
      <c r="N114" s="12"/>
      <c r="O114" s="15" t="n">
        <v>200</v>
      </c>
      <c r="P114" s="15" t="n">
        <v>200</v>
      </c>
      <c r="Q114" s="15" t="n">
        <v>600</v>
      </c>
      <c r="R114" s="15" t="n">
        <v>600</v>
      </c>
      <c r="S114" s="16" t="n">
        <f aca="false">M114*F114</f>
        <v>0</v>
      </c>
    </row>
    <row r="115" customFormat="false" ht="14.25" hidden="false" customHeight="false" outlineLevel="0" collapsed="false">
      <c r="A115" s="8" t="n">
        <v>29</v>
      </c>
      <c r="B115" s="12" t="s">
        <v>134</v>
      </c>
      <c r="C115" s="8" t="s">
        <v>106</v>
      </c>
      <c r="D115" s="8" t="s">
        <v>107</v>
      </c>
      <c r="E115" s="8" t="s">
        <v>107</v>
      </c>
      <c r="F115" s="8"/>
      <c r="G115" s="15" t="n">
        <v>5650</v>
      </c>
      <c r="H115" s="15" t="n">
        <f aca="false">G115*15%+G115</f>
        <v>6497.5</v>
      </c>
      <c r="I115" s="15"/>
      <c r="J115" s="15"/>
      <c r="K115" s="15" t="n">
        <f aca="false">H115*15%+H115</f>
        <v>7472.125</v>
      </c>
      <c r="L115" s="15"/>
      <c r="M115" s="15" t="n">
        <f aca="false">K115*15%+K115</f>
        <v>8592.94375</v>
      </c>
      <c r="N115" s="12"/>
      <c r="O115" s="15" t="n">
        <v>225</v>
      </c>
      <c r="P115" s="15" t="n">
        <v>225</v>
      </c>
      <c r="Q115" s="15" t="n">
        <v>600</v>
      </c>
      <c r="R115" s="15" t="n">
        <v>600</v>
      </c>
      <c r="S115" s="16" t="n">
        <f aca="false">M115*F115</f>
        <v>0</v>
      </c>
    </row>
    <row r="116" customFormat="false" ht="14.25" hidden="false" customHeight="false" outlineLevel="0" collapsed="false">
      <c r="A116" s="8" t="n">
        <v>30</v>
      </c>
      <c r="B116" s="12" t="s">
        <v>135</v>
      </c>
      <c r="C116" s="8" t="s">
        <v>106</v>
      </c>
      <c r="D116" s="8" t="s">
        <v>107</v>
      </c>
      <c r="E116" s="8" t="s">
        <v>107</v>
      </c>
      <c r="F116" s="8"/>
      <c r="G116" s="15" t="n">
        <v>8180</v>
      </c>
      <c r="H116" s="15" t="n">
        <f aca="false">G116*15%+G116</f>
        <v>9407</v>
      </c>
      <c r="I116" s="15"/>
      <c r="J116" s="15"/>
      <c r="K116" s="15" t="n">
        <f aca="false">H116*15%+H116</f>
        <v>10818.05</v>
      </c>
      <c r="L116" s="15"/>
      <c r="M116" s="15" t="n">
        <f aca="false">K116*15%+K116</f>
        <v>12440.7575</v>
      </c>
      <c r="N116" s="12"/>
      <c r="O116" s="15" t="n">
        <v>312.5</v>
      </c>
      <c r="P116" s="15" t="n">
        <v>312.5</v>
      </c>
      <c r="Q116" s="15" t="n">
        <v>600</v>
      </c>
      <c r="R116" s="15" t="n">
        <v>600</v>
      </c>
      <c r="S116" s="16" t="n">
        <f aca="false">M116*F116</f>
        <v>0</v>
      </c>
    </row>
    <row r="117" customFormat="false" ht="14.25" hidden="false" customHeight="false" outlineLevel="0" collapsed="false">
      <c r="A117" s="8" t="n">
        <v>31</v>
      </c>
      <c r="B117" s="12" t="s">
        <v>136</v>
      </c>
      <c r="C117" s="8" t="s">
        <v>106</v>
      </c>
      <c r="D117" s="8" t="s">
        <v>107</v>
      </c>
      <c r="E117" s="8" t="s">
        <v>107</v>
      </c>
      <c r="F117" s="8"/>
      <c r="G117" s="15" t="n">
        <v>9050</v>
      </c>
      <c r="H117" s="15" t="n">
        <f aca="false">G117*15%+G117</f>
        <v>10407.5</v>
      </c>
      <c r="I117" s="15"/>
      <c r="J117" s="15"/>
      <c r="K117" s="15" t="n">
        <f aca="false">H117*15%+H117</f>
        <v>11968.625</v>
      </c>
      <c r="L117" s="15"/>
      <c r="M117" s="15" t="n">
        <f aca="false">K117*15%+K117</f>
        <v>13763.91875</v>
      </c>
      <c r="N117" s="12"/>
      <c r="O117" s="15" t="n">
        <v>250</v>
      </c>
      <c r="P117" s="15" t="n">
        <v>250</v>
      </c>
      <c r="Q117" s="15" t="n">
        <v>600</v>
      </c>
      <c r="R117" s="15" t="n">
        <v>600</v>
      </c>
      <c r="S117" s="16" t="n">
        <f aca="false">M117*F117</f>
        <v>0</v>
      </c>
    </row>
    <row r="118" customFormat="false" ht="14.25" hidden="false" customHeight="false" outlineLevel="0" collapsed="false">
      <c r="A118" s="8" t="n">
        <v>32</v>
      </c>
      <c r="B118" s="12" t="s">
        <v>137</v>
      </c>
      <c r="C118" s="8" t="s">
        <v>106</v>
      </c>
      <c r="D118" s="8" t="s">
        <v>107</v>
      </c>
      <c r="E118" s="8" t="s">
        <v>107</v>
      </c>
      <c r="F118" s="8"/>
      <c r="G118" s="15" t="n">
        <v>13360</v>
      </c>
      <c r="H118" s="15" t="n">
        <f aca="false">G118*15%+G118</f>
        <v>15364</v>
      </c>
      <c r="I118" s="15"/>
      <c r="J118" s="15"/>
      <c r="K118" s="15" t="n">
        <f aca="false">H118*15%+H118</f>
        <v>17668.6</v>
      </c>
      <c r="L118" s="15"/>
      <c r="M118" s="15" t="n">
        <f aca="false">K118*15%+K118</f>
        <v>20318.89</v>
      </c>
      <c r="N118" s="12"/>
      <c r="O118" s="15" t="n">
        <v>250</v>
      </c>
      <c r="P118" s="15" t="n">
        <v>250</v>
      </c>
      <c r="Q118" s="15" t="n">
        <v>600</v>
      </c>
      <c r="R118" s="15" t="n">
        <v>600</v>
      </c>
      <c r="S118" s="16" t="n">
        <f aca="false">M118*F118</f>
        <v>0</v>
      </c>
    </row>
    <row r="119" customFormat="false" ht="14.25" hidden="false" customHeight="false" outlineLevel="0" collapsed="false">
      <c r="A119" s="8" t="n">
        <v>33</v>
      </c>
      <c r="B119" s="12" t="s">
        <v>138</v>
      </c>
      <c r="C119" s="8" t="s">
        <v>106</v>
      </c>
      <c r="D119" s="8" t="s">
        <v>107</v>
      </c>
      <c r="E119" s="8" t="s">
        <v>107</v>
      </c>
      <c r="F119" s="8"/>
      <c r="G119" s="15" t="n">
        <v>6170</v>
      </c>
      <c r="H119" s="15" t="n">
        <f aca="false">G119*15%+G119</f>
        <v>7095.5</v>
      </c>
      <c r="I119" s="15"/>
      <c r="J119" s="15"/>
      <c r="K119" s="15" t="n">
        <f aca="false">H119*15%+H119</f>
        <v>8159.825</v>
      </c>
      <c r="L119" s="15"/>
      <c r="M119" s="15" t="n">
        <f aca="false">K119*15%+K119</f>
        <v>9383.79875</v>
      </c>
      <c r="N119" s="12"/>
      <c r="O119" s="15" t="n">
        <v>250</v>
      </c>
      <c r="P119" s="15" t="n">
        <v>250</v>
      </c>
      <c r="Q119" s="15" t="n">
        <v>670</v>
      </c>
      <c r="R119" s="15" t="n">
        <v>670</v>
      </c>
      <c r="S119" s="16" t="n">
        <f aca="false">M119*F119</f>
        <v>0</v>
      </c>
    </row>
    <row r="120" customFormat="false" ht="14.25" hidden="false" customHeight="false" outlineLevel="0" collapsed="false">
      <c r="A120" s="8" t="n">
        <v>34</v>
      </c>
      <c r="B120" s="12" t="s">
        <v>139</v>
      </c>
      <c r="C120" s="8" t="s">
        <v>106</v>
      </c>
      <c r="D120" s="8" t="s">
        <v>107</v>
      </c>
      <c r="E120" s="8" t="s">
        <v>107</v>
      </c>
      <c r="F120" s="8"/>
      <c r="G120" s="15" t="n">
        <v>5840</v>
      </c>
      <c r="H120" s="15" t="n">
        <f aca="false">G120*15%+G120</f>
        <v>6716</v>
      </c>
      <c r="I120" s="15"/>
      <c r="J120" s="15"/>
      <c r="K120" s="15" t="n">
        <f aca="false">H120*15%+H120</f>
        <v>7723.4</v>
      </c>
      <c r="L120" s="15"/>
      <c r="M120" s="15" t="n">
        <f aca="false">K120*15%+K120</f>
        <v>8881.91</v>
      </c>
      <c r="N120" s="12"/>
      <c r="O120" s="15" t="n">
        <v>250</v>
      </c>
      <c r="P120" s="15" t="n">
        <v>250</v>
      </c>
      <c r="Q120" s="15" t="n">
        <v>470</v>
      </c>
      <c r="R120" s="15" t="n">
        <v>470</v>
      </c>
      <c r="S120" s="16" t="n">
        <f aca="false">M120*F120</f>
        <v>0</v>
      </c>
    </row>
    <row r="121" customFormat="false" ht="14.25" hidden="false" customHeight="false" outlineLevel="0" collapsed="false">
      <c r="A121" s="8" t="n">
        <v>35</v>
      </c>
      <c r="B121" s="12" t="s">
        <v>140</v>
      </c>
      <c r="C121" s="8"/>
      <c r="D121" s="8"/>
      <c r="E121" s="8"/>
      <c r="F121" s="8"/>
      <c r="G121" s="15"/>
      <c r="H121" s="15" t="n">
        <f aca="false">G121*15%+G121</f>
        <v>0</v>
      </c>
      <c r="I121" s="15"/>
      <c r="J121" s="15"/>
      <c r="K121" s="15" t="n">
        <f aca="false">H121*15%+H121</f>
        <v>0</v>
      </c>
      <c r="L121" s="15"/>
      <c r="M121" s="15" t="n">
        <f aca="false">K121*15%+K121</f>
        <v>0</v>
      </c>
      <c r="N121" s="12"/>
      <c r="O121" s="15"/>
      <c r="P121" s="15"/>
      <c r="Q121" s="15"/>
      <c r="R121" s="15"/>
      <c r="S121" s="16"/>
    </row>
    <row r="122" customFormat="false" ht="14.25" hidden="false" customHeight="false" outlineLevel="0" collapsed="false">
      <c r="A122" s="8" t="n">
        <v>36</v>
      </c>
      <c r="B122" s="12" t="s">
        <v>141</v>
      </c>
      <c r="C122" s="8" t="s">
        <v>106</v>
      </c>
      <c r="D122" s="8" t="s">
        <v>107</v>
      </c>
      <c r="E122" s="8" t="s">
        <v>107</v>
      </c>
      <c r="F122" s="8"/>
      <c r="G122" s="15" t="n">
        <v>4200</v>
      </c>
      <c r="H122" s="15" t="n">
        <f aca="false">G122*15%+G122</f>
        <v>4830</v>
      </c>
      <c r="I122" s="15"/>
      <c r="J122" s="15"/>
      <c r="K122" s="15" t="n">
        <f aca="false">H122*15%+H122</f>
        <v>5554.5</v>
      </c>
      <c r="L122" s="15"/>
      <c r="M122" s="15" t="n">
        <f aca="false">K122*15%+K122</f>
        <v>6387.675</v>
      </c>
      <c r="N122" s="12"/>
      <c r="O122" s="15" t="n">
        <v>325</v>
      </c>
      <c r="P122" s="15" t="n">
        <v>325</v>
      </c>
      <c r="Q122" s="15" t="n">
        <v>800</v>
      </c>
      <c r="R122" s="15" t="n">
        <v>800</v>
      </c>
      <c r="S122" s="16" t="n">
        <f aca="false">M122*F122</f>
        <v>0</v>
      </c>
    </row>
    <row r="123" customFormat="false" ht="48.75" hidden="false" customHeight="true" outlineLevel="0" collapsed="false">
      <c r="A123" s="13" t="s">
        <v>0</v>
      </c>
      <c r="B123" s="13" t="s">
        <v>1</v>
      </c>
      <c r="C123" s="14" t="s">
        <v>98</v>
      </c>
      <c r="D123" s="13" t="s">
        <v>3</v>
      </c>
      <c r="E123" s="13" t="s">
        <v>4</v>
      </c>
      <c r="F123" s="13"/>
      <c r="G123" s="14" t="s">
        <v>6</v>
      </c>
      <c r="H123" s="14" t="s">
        <v>11</v>
      </c>
      <c r="I123" s="14"/>
      <c r="J123" s="14"/>
      <c r="K123" s="14" t="s">
        <v>10</v>
      </c>
      <c r="L123" s="14" t="s">
        <v>10</v>
      </c>
      <c r="M123" s="14" t="s">
        <v>100</v>
      </c>
      <c r="N123" s="13" t="s">
        <v>13</v>
      </c>
      <c r="O123" s="14" t="s">
        <v>14</v>
      </c>
      <c r="P123" s="14" t="s">
        <v>14</v>
      </c>
      <c r="Q123" s="14" t="s">
        <v>14</v>
      </c>
      <c r="R123" s="14" t="s">
        <v>14</v>
      </c>
      <c r="S123" s="12"/>
    </row>
    <row r="124" customFormat="false" ht="14.25" hidden="false" customHeight="true" outlineLevel="0" collapsed="false">
      <c r="A124" s="8" t="n">
        <v>1</v>
      </c>
      <c r="B124" s="9" t="s">
        <v>142</v>
      </c>
      <c r="C124" s="8"/>
      <c r="D124" s="8" t="s">
        <v>143</v>
      </c>
      <c r="E124" s="8" t="s">
        <v>143</v>
      </c>
      <c r="F124" s="8"/>
      <c r="G124" s="8" t="n">
        <v>8940</v>
      </c>
      <c r="H124" s="12"/>
      <c r="I124" s="15" t="n">
        <f aca="false">J124/135%</f>
        <v>282.172002510986</v>
      </c>
      <c r="J124" s="15" t="n">
        <f aca="false">M124/2/118%</f>
        <v>380.932203389831</v>
      </c>
      <c r="K124" s="12"/>
      <c r="L124" s="12"/>
      <c r="M124" s="8" t="n">
        <v>899</v>
      </c>
      <c r="N124" s="8" t="n">
        <v>899</v>
      </c>
      <c r="O124" s="15"/>
      <c r="P124" s="15"/>
      <c r="Q124" s="15"/>
      <c r="R124" s="15"/>
      <c r="S124" s="12"/>
    </row>
    <row r="125" customFormat="false" ht="14.25" hidden="false" customHeight="true" outlineLevel="0" collapsed="false">
      <c r="A125" s="8" t="n">
        <v>2</v>
      </c>
      <c r="B125" s="9" t="s">
        <v>144</v>
      </c>
      <c r="C125" s="8"/>
      <c r="D125" s="8" t="s">
        <v>143</v>
      </c>
      <c r="E125" s="8" t="s">
        <v>143</v>
      </c>
      <c r="F125" s="8"/>
      <c r="G125" s="8" t="n">
        <v>9940</v>
      </c>
      <c r="H125" s="12"/>
      <c r="I125" s="15" t="n">
        <f aca="false">J125/135%</f>
        <v>282.172002510986</v>
      </c>
      <c r="J125" s="15" t="n">
        <f aca="false">M125/2/118%</f>
        <v>380.932203389831</v>
      </c>
      <c r="K125" s="12"/>
      <c r="L125" s="12"/>
      <c r="M125" s="8" t="n">
        <v>899</v>
      </c>
      <c r="N125" s="8" t="n">
        <v>899</v>
      </c>
      <c r="O125" s="15"/>
      <c r="P125" s="15"/>
      <c r="Q125" s="15"/>
      <c r="R125" s="15"/>
      <c r="S125" s="12"/>
    </row>
    <row r="126" customFormat="false" ht="14.25" hidden="false" customHeight="true" outlineLevel="0" collapsed="false">
      <c r="A126" s="8" t="n">
        <v>3</v>
      </c>
      <c r="B126" s="9" t="s">
        <v>117</v>
      </c>
      <c r="C126" s="8"/>
      <c r="D126" s="8" t="s">
        <v>143</v>
      </c>
      <c r="E126" s="8" t="s">
        <v>143</v>
      </c>
      <c r="F126" s="8"/>
      <c r="G126" s="8" t="n">
        <v>6270</v>
      </c>
      <c r="H126" s="12"/>
      <c r="I126" s="15" t="n">
        <f aca="false">J126/135%</f>
        <v>250.784682988073</v>
      </c>
      <c r="J126" s="15" t="n">
        <f aca="false">M126/2/118%</f>
        <v>338.559322033898</v>
      </c>
      <c r="K126" s="12"/>
      <c r="L126" s="12"/>
      <c r="M126" s="8" t="n">
        <v>799</v>
      </c>
      <c r="N126" s="8" t="n">
        <v>799</v>
      </c>
      <c r="O126" s="15"/>
      <c r="P126" s="15"/>
      <c r="Q126" s="15"/>
      <c r="R126" s="15"/>
      <c r="S126" s="12"/>
    </row>
    <row r="127" customFormat="false" ht="14.25" hidden="false" customHeight="true" outlineLevel="0" collapsed="false">
      <c r="A127" s="8" t="n">
        <v>4</v>
      </c>
      <c r="B127" s="9" t="s">
        <v>145</v>
      </c>
      <c r="C127" s="8"/>
      <c r="D127" s="8" t="s">
        <v>143</v>
      </c>
      <c r="E127" s="8" t="s">
        <v>143</v>
      </c>
      <c r="F127" s="8"/>
      <c r="G127" s="8" t="n">
        <v>7280</v>
      </c>
      <c r="H127" s="12"/>
      <c r="I127" s="15" t="n">
        <f aca="false">J127/135%</f>
        <v>250.784682988073</v>
      </c>
      <c r="J127" s="15" t="n">
        <f aca="false">M127/2/118%</f>
        <v>338.559322033898</v>
      </c>
      <c r="K127" s="12"/>
      <c r="L127" s="12"/>
      <c r="M127" s="8" t="n">
        <v>799</v>
      </c>
      <c r="N127" s="8" t="n">
        <v>799</v>
      </c>
      <c r="O127" s="15"/>
      <c r="P127" s="15"/>
      <c r="Q127" s="15"/>
      <c r="R127" s="15"/>
      <c r="S127" s="12"/>
    </row>
    <row r="128" customFormat="false" ht="14.25" hidden="false" customHeight="true" outlineLevel="0" collapsed="false">
      <c r="A128" s="8" t="n">
        <v>5</v>
      </c>
      <c r="B128" s="9" t="s">
        <v>146</v>
      </c>
      <c r="C128" s="8"/>
      <c r="D128" s="8" t="s">
        <v>143</v>
      </c>
      <c r="E128" s="8" t="s">
        <v>143</v>
      </c>
      <c r="F128" s="8"/>
      <c r="G128" s="8" t="n">
        <v>5680</v>
      </c>
      <c r="H128" s="12"/>
      <c r="I128" s="15" t="n">
        <f aca="false">J128/135%</f>
        <v>250.784682988073</v>
      </c>
      <c r="J128" s="15" t="n">
        <f aca="false">M128/2/118%</f>
        <v>338.559322033898</v>
      </c>
      <c r="K128" s="12"/>
      <c r="L128" s="12"/>
      <c r="M128" s="8" t="n">
        <v>799</v>
      </c>
      <c r="N128" s="8" t="n">
        <v>799</v>
      </c>
      <c r="O128" s="15"/>
      <c r="P128" s="15"/>
      <c r="Q128" s="15"/>
      <c r="R128" s="15"/>
      <c r="S128" s="12"/>
    </row>
    <row r="129" customFormat="false" ht="14.25" hidden="false" customHeight="true" outlineLevel="0" collapsed="false">
      <c r="A129" s="8" t="n">
        <v>6</v>
      </c>
      <c r="B129" s="9" t="s">
        <v>147</v>
      </c>
      <c r="C129" s="8"/>
      <c r="D129" s="8" t="s">
        <v>143</v>
      </c>
      <c r="E129" s="8" t="s">
        <v>143</v>
      </c>
      <c r="F129" s="8"/>
      <c r="G129" s="8" t="n">
        <v>5250</v>
      </c>
      <c r="H129" s="12"/>
      <c r="I129" s="15" t="n">
        <f aca="false">J129/135%</f>
        <v>250.784682988073</v>
      </c>
      <c r="J129" s="15" t="n">
        <f aca="false">M129/2/118%</f>
        <v>338.559322033898</v>
      </c>
      <c r="K129" s="12"/>
      <c r="L129" s="12"/>
      <c r="M129" s="8" t="n">
        <v>799</v>
      </c>
      <c r="N129" s="8" t="n">
        <v>799</v>
      </c>
      <c r="O129" s="15"/>
      <c r="P129" s="15"/>
      <c r="Q129" s="15"/>
      <c r="R129" s="15"/>
      <c r="S129" s="12"/>
    </row>
    <row r="130" customFormat="false" ht="14.25" hidden="false" customHeight="true" outlineLevel="0" collapsed="false">
      <c r="A130" s="8" t="n">
        <v>7</v>
      </c>
      <c r="B130" s="9" t="s">
        <v>148</v>
      </c>
      <c r="C130" s="8"/>
      <c r="D130" s="8" t="s">
        <v>143</v>
      </c>
      <c r="E130" s="8" t="s">
        <v>143</v>
      </c>
      <c r="F130" s="8"/>
      <c r="G130" s="8" t="n">
        <v>5320</v>
      </c>
      <c r="H130" s="12"/>
      <c r="I130" s="15" t="n">
        <f aca="false">J130/135%</f>
        <v>250.784682988073</v>
      </c>
      <c r="J130" s="15" t="n">
        <f aca="false">M130/2/118%</f>
        <v>338.559322033898</v>
      </c>
      <c r="K130" s="12"/>
      <c r="L130" s="12"/>
      <c r="M130" s="8" t="n">
        <v>799</v>
      </c>
      <c r="N130" s="8" t="n">
        <v>799</v>
      </c>
      <c r="O130" s="15"/>
      <c r="P130" s="15"/>
      <c r="Q130" s="15"/>
      <c r="R130" s="15"/>
      <c r="S130" s="12"/>
    </row>
    <row r="131" customFormat="false" ht="14.25" hidden="false" customHeight="true" outlineLevel="0" collapsed="false">
      <c r="A131" s="8" t="n">
        <v>8</v>
      </c>
      <c r="B131" s="9" t="s">
        <v>149</v>
      </c>
      <c r="C131" s="8"/>
      <c r="D131" s="8" t="s">
        <v>143</v>
      </c>
      <c r="E131" s="8" t="s">
        <v>143</v>
      </c>
      <c r="F131" s="8"/>
      <c r="G131" s="8" t="n">
        <v>5040</v>
      </c>
      <c r="H131" s="12"/>
      <c r="I131" s="15" t="n">
        <f aca="false">J131/135%</f>
        <v>282.172002510986</v>
      </c>
      <c r="J131" s="15" t="n">
        <f aca="false">M131/2/118%</f>
        <v>380.932203389831</v>
      </c>
      <c r="K131" s="12"/>
      <c r="L131" s="12"/>
      <c r="M131" s="8" t="n">
        <v>899</v>
      </c>
      <c r="N131" s="8" t="n">
        <v>899</v>
      </c>
      <c r="O131" s="15"/>
      <c r="P131" s="15"/>
      <c r="Q131" s="15"/>
      <c r="R131" s="15"/>
      <c r="S131" s="12"/>
    </row>
    <row r="132" customFormat="false" ht="14.25" hidden="false" customHeight="true" outlineLevel="0" collapsed="false">
      <c r="A132" s="8" t="n">
        <v>9</v>
      </c>
      <c r="B132" s="9" t="s">
        <v>150</v>
      </c>
      <c r="C132" s="8"/>
      <c r="D132" s="8" t="s">
        <v>143</v>
      </c>
      <c r="E132" s="8" t="s">
        <v>143</v>
      </c>
      <c r="F132" s="8"/>
      <c r="G132" s="8" t="n">
        <v>26860</v>
      </c>
      <c r="H132" s="12"/>
      <c r="I132" s="15" t="n">
        <f aca="false">J132/135%</f>
        <v>313.559322033898</v>
      </c>
      <c r="J132" s="15" t="n">
        <f aca="false">M132/2/118%</f>
        <v>423.305084745763</v>
      </c>
      <c r="K132" s="12"/>
      <c r="L132" s="12"/>
      <c r="M132" s="8" t="n">
        <v>999</v>
      </c>
      <c r="N132" s="8" t="n">
        <v>999</v>
      </c>
      <c r="O132" s="15"/>
      <c r="P132" s="15"/>
      <c r="Q132" s="15"/>
      <c r="R132" s="15"/>
      <c r="S132" s="12"/>
    </row>
    <row r="133" customFormat="false" ht="14.25" hidden="false" customHeight="true" outlineLevel="0" collapsed="false">
      <c r="A133" s="8" t="n">
        <v>10</v>
      </c>
      <c r="B133" s="9" t="s">
        <v>151</v>
      </c>
      <c r="C133" s="8"/>
      <c r="D133" s="8" t="s">
        <v>143</v>
      </c>
      <c r="E133" s="8" t="s">
        <v>143</v>
      </c>
      <c r="F133" s="8"/>
      <c r="G133" s="8" t="n">
        <v>6100</v>
      </c>
      <c r="H133" s="12"/>
      <c r="I133" s="15" t="n">
        <f aca="false">J133/135%</f>
        <v>282.172002510986</v>
      </c>
      <c r="J133" s="15" t="n">
        <f aca="false">M133/2/118%</f>
        <v>380.932203389831</v>
      </c>
      <c r="K133" s="12"/>
      <c r="L133" s="12"/>
      <c r="M133" s="8" t="n">
        <v>899</v>
      </c>
      <c r="N133" s="8" t="n">
        <v>899</v>
      </c>
      <c r="O133" s="15"/>
      <c r="P133" s="15"/>
      <c r="Q133" s="15"/>
      <c r="R133" s="15"/>
      <c r="S133" s="12"/>
    </row>
    <row r="134" customFormat="false" ht="14.25" hidden="false" customHeight="true" outlineLevel="0" collapsed="false">
      <c r="A134" s="8" t="n">
        <v>11</v>
      </c>
      <c r="B134" s="9" t="s">
        <v>152</v>
      </c>
      <c r="C134" s="8"/>
      <c r="D134" s="8" t="s">
        <v>143</v>
      </c>
      <c r="E134" s="8" t="s">
        <v>143</v>
      </c>
      <c r="F134" s="8"/>
      <c r="G134" s="8" t="n">
        <v>12800</v>
      </c>
      <c r="H134" s="12"/>
      <c r="I134" s="15" t="n">
        <f aca="false">J134/135%</f>
        <v>313.559322033898</v>
      </c>
      <c r="J134" s="15" t="n">
        <f aca="false">M134/2/118%</f>
        <v>423.305084745763</v>
      </c>
      <c r="K134" s="12"/>
      <c r="L134" s="12"/>
      <c r="M134" s="8" t="n">
        <v>999</v>
      </c>
      <c r="N134" s="8" t="n">
        <v>999</v>
      </c>
      <c r="O134" s="15"/>
      <c r="P134" s="15"/>
      <c r="Q134" s="15"/>
      <c r="R134" s="15"/>
      <c r="S134" s="12"/>
    </row>
    <row r="135" customFormat="false" ht="14.25" hidden="false" customHeight="true" outlineLevel="0" collapsed="false">
      <c r="A135" s="8" t="n">
        <v>12</v>
      </c>
      <c r="B135" s="9" t="s">
        <v>153</v>
      </c>
      <c r="C135" s="8"/>
      <c r="D135" s="8" t="s">
        <v>143</v>
      </c>
      <c r="E135" s="8" t="s">
        <v>143</v>
      </c>
      <c r="F135" s="8"/>
      <c r="G135" s="8" t="n">
        <v>7850</v>
      </c>
      <c r="H135" s="12"/>
      <c r="I135" s="15" t="n">
        <f aca="false">J135/135%</f>
        <v>282.172002510986</v>
      </c>
      <c r="J135" s="15" t="n">
        <f aca="false">M135/2/118%</f>
        <v>380.932203389831</v>
      </c>
      <c r="K135" s="12"/>
      <c r="L135" s="12"/>
      <c r="M135" s="8" t="n">
        <v>899</v>
      </c>
      <c r="N135" s="8" t="n">
        <v>899</v>
      </c>
      <c r="O135" s="15"/>
      <c r="P135" s="15"/>
      <c r="Q135" s="15"/>
      <c r="R135" s="15"/>
      <c r="S135" s="12"/>
    </row>
    <row r="136" customFormat="false" ht="14.25" hidden="false" customHeight="true" outlineLevel="0" collapsed="false">
      <c r="A136" s="8" t="n">
        <v>13</v>
      </c>
      <c r="B136" s="9" t="s">
        <v>154</v>
      </c>
      <c r="C136" s="8"/>
      <c r="D136" s="8" t="s">
        <v>143</v>
      </c>
      <c r="E136" s="8" t="s">
        <v>143</v>
      </c>
      <c r="F136" s="8"/>
      <c r="G136" s="8" t="n">
        <v>4580</v>
      </c>
      <c r="H136" s="12"/>
      <c r="I136" s="15" t="n">
        <f aca="false">J136/135%</f>
        <v>250.784682988073</v>
      </c>
      <c r="J136" s="15" t="n">
        <f aca="false">M136/2/118%</f>
        <v>338.559322033898</v>
      </c>
      <c r="K136" s="12"/>
      <c r="L136" s="12"/>
      <c r="M136" s="8" t="n">
        <v>799</v>
      </c>
      <c r="N136" s="8" t="n">
        <v>799</v>
      </c>
      <c r="O136" s="15"/>
      <c r="P136" s="15"/>
      <c r="Q136" s="15"/>
      <c r="R136" s="15"/>
      <c r="S136" s="12"/>
    </row>
    <row r="137" customFormat="false" ht="14.25" hidden="false" customHeight="true" outlineLevel="0" collapsed="false">
      <c r="A137" s="8" t="n">
        <v>14</v>
      </c>
      <c r="B137" s="9" t="s">
        <v>155</v>
      </c>
      <c r="C137" s="8"/>
      <c r="D137" s="8" t="s">
        <v>143</v>
      </c>
      <c r="E137" s="8" t="s">
        <v>143</v>
      </c>
      <c r="F137" s="8"/>
      <c r="G137" s="8" t="n">
        <v>9690</v>
      </c>
      <c r="H137" s="12"/>
      <c r="I137" s="15" t="n">
        <f aca="false">J137/135%</f>
        <v>282.172002510986</v>
      </c>
      <c r="J137" s="15" t="n">
        <f aca="false">M137/2/118%</f>
        <v>380.932203389831</v>
      </c>
      <c r="K137" s="12"/>
      <c r="L137" s="12"/>
      <c r="M137" s="8" t="n">
        <v>899</v>
      </c>
      <c r="N137" s="8" t="n">
        <v>899</v>
      </c>
      <c r="O137" s="15"/>
      <c r="P137" s="15"/>
      <c r="Q137" s="15"/>
      <c r="R137" s="15"/>
      <c r="S137" s="12"/>
    </row>
    <row r="138" customFormat="false" ht="14.25" hidden="false" customHeight="true" outlineLevel="0" collapsed="false">
      <c r="A138" s="8" t="n">
        <v>15</v>
      </c>
      <c r="B138" s="9" t="s">
        <v>156</v>
      </c>
      <c r="C138" s="8"/>
      <c r="D138" s="8" t="s">
        <v>143</v>
      </c>
      <c r="E138" s="8" t="s">
        <v>143</v>
      </c>
      <c r="F138" s="8"/>
      <c r="G138" s="8" t="n">
        <v>33160</v>
      </c>
      <c r="H138" s="12"/>
      <c r="I138" s="15" t="n">
        <f aca="false">J138/135%</f>
        <v>533.270558694288</v>
      </c>
      <c r="J138" s="15" t="n">
        <f aca="false">M138/2/118%</f>
        <v>719.915254237288</v>
      </c>
      <c r="K138" s="12"/>
      <c r="L138" s="12"/>
      <c r="M138" s="8" t="n">
        <v>1699</v>
      </c>
      <c r="N138" s="8" t="n">
        <v>1699</v>
      </c>
      <c r="O138" s="15"/>
      <c r="P138" s="15"/>
      <c r="Q138" s="15"/>
      <c r="R138" s="15"/>
      <c r="S138" s="12"/>
    </row>
    <row r="139" customFormat="false" ht="14.25" hidden="false" customHeight="true" outlineLevel="0" collapsed="false">
      <c r="A139" s="8" t="n">
        <v>16</v>
      </c>
      <c r="B139" s="9" t="s">
        <v>157</v>
      </c>
      <c r="C139" s="8"/>
      <c r="D139" s="8" t="s">
        <v>143</v>
      </c>
      <c r="E139" s="8" t="s">
        <v>143</v>
      </c>
      <c r="F139" s="8"/>
      <c r="G139" s="8" t="n">
        <v>8380</v>
      </c>
      <c r="H139" s="12"/>
      <c r="I139" s="15" t="n">
        <f aca="false">J139/135%</f>
        <v>376.333961079724</v>
      </c>
      <c r="J139" s="15" t="n">
        <f aca="false">M139/2/118%</f>
        <v>508.050847457627</v>
      </c>
      <c r="K139" s="12"/>
      <c r="L139" s="12"/>
      <c r="M139" s="8" t="n">
        <v>1199</v>
      </c>
      <c r="N139" s="8" t="n">
        <v>1199</v>
      </c>
      <c r="O139" s="15"/>
      <c r="P139" s="15"/>
      <c r="Q139" s="15"/>
      <c r="R139" s="15"/>
      <c r="S139" s="12"/>
    </row>
    <row r="140" customFormat="false" ht="14.25" hidden="false" customHeight="true" outlineLevel="0" collapsed="false">
      <c r="A140" s="8" t="n">
        <v>17</v>
      </c>
      <c r="B140" s="9" t="s">
        <v>158</v>
      </c>
      <c r="C140" s="8"/>
      <c r="D140" s="8" t="s">
        <v>143</v>
      </c>
      <c r="E140" s="8" t="s">
        <v>143</v>
      </c>
      <c r="F140" s="8"/>
      <c r="G140" s="8" t="n">
        <v>2650</v>
      </c>
      <c r="H140" s="12"/>
      <c r="I140" s="15" t="n">
        <f aca="false">J140/135%</f>
        <v>250.784682988073</v>
      </c>
      <c r="J140" s="15" t="n">
        <f aca="false">M140/2/118%</f>
        <v>338.559322033898</v>
      </c>
      <c r="K140" s="12"/>
      <c r="L140" s="12"/>
      <c r="M140" s="8" t="n">
        <v>799</v>
      </c>
      <c r="N140" s="8" t="n">
        <v>799</v>
      </c>
      <c r="O140" s="15"/>
      <c r="P140" s="15"/>
      <c r="Q140" s="15"/>
      <c r="R140" s="15"/>
      <c r="S140" s="12"/>
    </row>
    <row r="141" customFormat="false" ht="14.25" hidden="false" customHeight="true" outlineLevel="0" collapsed="false">
      <c r="A141" s="8" t="n">
        <v>18</v>
      </c>
      <c r="B141" s="9" t="s">
        <v>159</v>
      </c>
      <c r="C141" s="8"/>
      <c r="D141" s="8" t="s">
        <v>143</v>
      </c>
      <c r="E141" s="8" t="s">
        <v>143</v>
      </c>
      <c r="F141" s="8"/>
      <c r="G141" s="8" t="n">
        <v>8500</v>
      </c>
      <c r="H141" s="12"/>
      <c r="I141" s="15" t="n">
        <f aca="false">J141/135%</f>
        <v>282.172002510986</v>
      </c>
      <c r="J141" s="15" t="n">
        <f aca="false">M141/2/118%</f>
        <v>380.932203389831</v>
      </c>
      <c r="K141" s="12"/>
      <c r="L141" s="12"/>
      <c r="M141" s="8" t="n">
        <v>899</v>
      </c>
      <c r="N141" s="8" t="n">
        <v>899</v>
      </c>
      <c r="O141" s="15"/>
      <c r="P141" s="15"/>
      <c r="Q141" s="15"/>
      <c r="R141" s="15"/>
      <c r="S141" s="12"/>
    </row>
    <row r="142" customFormat="false" ht="14.25" hidden="false" customHeight="true" outlineLevel="0" collapsed="false">
      <c r="A142" s="8" t="n">
        <v>19</v>
      </c>
      <c r="B142" s="9" t="s">
        <v>160</v>
      </c>
      <c r="C142" s="8"/>
      <c r="D142" s="8" t="s">
        <v>143</v>
      </c>
      <c r="E142" s="8" t="s">
        <v>143</v>
      </c>
      <c r="F142" s="8"/>
      <c r="G142" s="8" t="n">
        <v>33500</v>
      </c>
      <c r="H142" s="12"/>
      <c r="I142" s="15" t="n">
        <f aca="false">J142/135%</f>
        <v>533.270558694288</v>
      </c>
      <c r="J142" s="15" t="n">
        <f aca="false">M142/2/118%</f>
        <v>719.915254237288</v>
      </c>
      <c r="K142" s="12"/>
      <c r="L142" s="12"/>
      <c r="M142" s="8" t="n">
        <v>1699</v>
      </c>
      <c r="N142" s="8" t="n">
        <v>1699</v>
      </c>
      <c r="O142" s="15"/>
      <c r="P142" s="15"/>
      <c r="Q142" s="15"/>
      <c r="R142" s="15"/>
      <c r="S142" s="12"/>
    </row>
    <row r="143" customFormat="false" ht="14.25" hidden="false" customHeight="true" outlineLevel="0" collapsed="false">
      <c r="A143" s="8" t="n">
        <v>20</v>
      </c>
      <c r="B143" s="9" t="s">
        <v>161</v>
      </c>
      <c r="C143" s="8"/>
      <c r="D143" s="8" t="s">
        <v>143</v>
      </c>
      <c r="E143" s="8" t="s">
        <v>143</v>
      </c>
      <c r="F143" s="8"/>
      <c r="G143" s="8" t="n">
        <v>3000</v>
      </c>
      <c r="H143" s="12"/>
      <c r="I143" s="15" t="n">
        <f aca="false">J143/135%</f>
        <v>282.172002510986</v>
      </c>
      <c r="J143" s="15" t="n">
        <f aca="false">M143/2/118%</f>
        <v>380.932203389831</v>
      </c>
      <c r="K143" s="12"/>
      <c r="L143" s="12"/>
      <c r="M143" s="8" t="n">
        <v>899</v>
      </c>
      <c r="N143" s="8" t="n">
        <v>899</v>
      </c>
      <c r="O143" s="15"/>
      <c r="P143" s="15"/>
      <c r="Q143" s="15"/>
      <c r="R143" s="15"/>
      <c r="S143" s="12"/>
    </row>
    <row r="144" customFormat="false" ht="14.25" hidden="false" customHeight="true" outlineLevel="0" collapsed="false">
      <c r="A144" s="8" t="n">
        <v>21</v>
      </c>
      <c r="B144" s="12" t="s">
        <v>162</v>
      </c>
      <c r="C144" s="8"/>
      <c r="D144" s="8" t="s">
        <v>143</v>
      </c>
      <c r="E144" s="8" t="s">
        <v>143</v>
      </c>
      <c r="F144" s="8"/>
      <c r="G144" s="8" t="n">
        <v>7650</v>
      </c>
      <c r="H144" s="12"/>
      <c r="I144" s="15" t="n">
        <f aca="false">J144/135%</f>
        <v>376.333961079724</v>
      </c>
      <c r="J144" s="15" t="n">
        <f aca="false">M144/2/118%</f>
        <v>508.050847457627</v>
      </c>
      <c r="K144" s="12"/>
      <c r="L144" s="12"/>
      <c r="M144" s="8" t="n">
        <v>1199</v>
      </c>
      <c r="N144" s="8" t="n">
        <v>1199</v>
      </c>
      <c r="O144" s="15"/>
      <c r="P144" s="15"/>
      <c r="Q144" s="15"/>
      <c r="R144" s="15"/>
      <c r="S144" s="12"/>
    </row>
    <row r="145" customFormat="false" ht="14.25" hidden="false" customHeight="true" outlineLevel="0" collapsed="false">
      <c r="A145" s="8" t="n">
        <v>22</v>
      </c>
      <c r="B145" s="12" t="s">
        <v>163</v>
      </c>
      <c r="C145" s="8"/>
      <c r="D145" s="8" t="s">
        <v>143</v>
      </c>
      <c r="E145" s="8" t="s">
        <v>143</v>
      </c>
      <c r="F145" s="8"/>
      <c r="G145" s="8" t="n">
        <v>22400</v>
      </c>
      <c r="H145" s="12"/>
      <c r="I145" s="15" t="n">
        <f aca="false">J145/135%</f>
        <v>282.172002510986</v>
      </c>
      <c r="J145" s="15" t="n">
        <f aca="false">M145/2/118%</f>
        <v>380.932203389831</v>
      </c>
      <c r="K145" s="12"/>
      <c r="L145" s="12"/>
      <c r="M145" s="8" t="n">
        <v>899</v>
      </c>
      <c r="N145" s="8" t="n">
        <v>899</v>
      </c>
      <c r="O145" s="15"/>
      <c r="P145" s="15"/>
      <c r="Q145" s="15"/>
      <c r="R145" s="15"/>
      <c r="S145" s="12"/>
    </row>
    <row r="146" customFormat="false" ht="14.25" hidden="false" customHeight="true" outlineLevel="0" collapsed="false">
      <c r="A146" s="8" t="n">
        <v>23</v>
      </c>
      <c r="B146" s="12" t="s">
        <v>164</v>
      </c>
      <c r="C146" s="8"/>
      <c r="D146" s="8" t="s">
        <v>143</v>
      </c>
      <c r="E146" s="8" t="s">
        <v>143</v>
      </c>
      <c r="F146" s="8"/>
      <c r="G146" s="8" t="n">
        <v>3560</v>
      </c>
      <c r="H146" s="12"/>
      <c r="I146" s="15" t="n">
        <f aca="false">J146/135%</f>
        <v>376.333961079724</v>
      </c>
      <c r="J146" s="15" t="n">
        <f aca="false">M146/2/118%</f>
        <v>508.050847457627</v>
      </c>
      <c r="K146" s="12"/>
      <c r="L146" s="12"/>
      <c r="M146" s="8" t="n">
        <v>1199</v>
      </c>
      <c r="N146" s="8" t="n">
        <v>1199</v>
      </c>
      <c r="O146" s="15"/>
      <c r="P146" s="15"/>
      <c r="Q146" s="15"/>
      <c r="R146" s="15"/>
      <c r="S146" s="12"/>
    </row>
    <row r="147" customFormat="false" ht="14.25" hidden="false" customHeight="true" outlineLevel="0" collapsed="false">
      <c r="A147" s="8" t="n">
        <v>24</v>
      </c>
      <c r="B147" s="12" t="s">
        <v>165</v>
      </c>
      <c r="C147" s="8"/>
      <c r="D147" s="8" t="s">
        <v>143</v>
      </c>
      <c r="E147" s="8" t="s">
        <v>143</v>
      </c>
      <c r="F147" s="8"/>
      <c r="G147" s="8" t="n">
        <v>7650</v>
      </c>
      <c r="H147" s="12"/>
      <c r="I147" s="15" t="n">
        <f aca="false">J147/135%</f>
        <v>533.270558694288</v>
      </c>
      <c r="J147" s="15" t="n">
        <f aca="false">M147/2/118%</f>
        <v>719.915254237288</v>
      </c>
      <c r="K147" s="12"/>
      <c r="L147" s="12"/>
      <c r="M147" s="8" t="n">
        <v>1699</v>
      </c>
      <c r="N147" s="8" t="n">
        <v>1699</v>
      </c>
      <c r="O147" s="15"/>
      <c r="P147" s="15"/>
      <c r="Q147" s="15"/>
      <c r="R147" s="15"/>
      <c r="S147" s="12"/>
    </row>
    <row r="148" customFormat="false" ht="14.25" hidden="false" customHeight="true" outlineLevel="0" collapsed="false">
      <c r="A148" s="8" t="n">
        <v>25</v>
      </c>
      <c r="B148" s="12" t="s">
        <v>166</v>
      </c>
      <c r="C148" s="8"/>
      <c r="D148" s="8" t="s">
        <v>143</v>
      </c>
      <c r="E148" s="8" t="s">
        <v>143</v>
      </c>
      <c r="F148" s="8"/>
      <c r="G148" s="8" t="n">
        <v>8950</v>
      </c>
      <c r="H148" s="12"/>
      <c r="I148" s="15" t="n">
        <f aca="false">J148/135%</f>
        <v>533.270558694288</v>
      </c>
      <c r="J148" s="15" t="n">
        <f aca="false">M148/2/118%</f>
        <v>719.915254237288</v>
      </c>
      <c r="K148" s="12"/>
      <c r="L148" s="12"/>
      <c r="M148" s="8" t="n">
        <v>1699</v>
      </c>
      <c r="N148" s="8" t="n">
        <v>1699</v>
      </c>
      <c r="O148" s="15"/>
      <c r="P148" s="15"/>
      <c r="Q148" s="15"/>
      <c r="R148" s="15"/>
      <c r="S148" s="12"/>
    </row>
    <row r="149" customFormat="false" ht="14.25" hidden="false" customHeight="true" outlineLevel="0" collapsed="false">
      <c r="A149" s="8" t="n">
        <v>26</v>
      </c>
      <c r="B149" s="12" t="s">
        <v>167</v>
      </c>
      <c r="C149" s="8"/>
      <c r="D149" s="8" t="s">
        <v>143</v>
      </c>
      <c r="E149" s="8" t="s">
        <v>143</v>
      </c>
      <c r="F149" s="8"/>
      <c r="G149" s="8" t="n">
        <v>5340</v>
      </c>
      <c r="H149" s="12"/>
      <c r="I149" s="15" t="n">
        <f aca="false">J149/135%</f>
        <v>533.270558694288</v>
      </c>
      <c r="J149" s="15" t="n">
        <f aca="false">M149/2/118%</f>
        <v>719.915254237288</v>
      </c>
      <c r="K149" s="12"/>
      <c r="L149" s="12"/>
      <c r="M149" s="8" t="n">
        <v>1699</v>
      </c>
      <c r="N149" s="8" t="n">
        <v>1699</v>
      </c>
      <c r="O149" s="15"/>
      <c r="P149" s="15"/>
      <c r="Q149" s="15"/>
      <c r="R149" s="15"/>
      <c r="S149" s="12"/>
    </row>
    <row r="150" customFormat="false" ht="14.25" hidden="false" customHeight="true" outlineLevel="0" collapsed="false">
      <c r="A150" s="8" t="n">
        <v>27</v>
      </c>
      <c r="B150" s="12" t="s">
        <v>168</v>
      </c>
      <c r="C150" s="8"/>
      <c r="D150" s="8" t="s">
        <v>143</v>
      </c>
      <c r="E150" s="8" t="s">
        <v>143</v>
      </c>
      <c r="F150" s="8"/>
      <c r="G150" s="8" t="n">
        <v>10500</v>
      </c>
      <c r="H150" s="12"/>
      <c r="I150" s="15" t="n">
        <f aca="false">J150/135%</f>
        <v>376.333961079724</v>
      </c>
      <c r="J150" s="15" t="n">
        <f aca="false">M150/2/118%</f>
        <v>508.050847457627</v>
      </c>
      <c r="K150" s="12"/>
      <c r="L150" s="12"/>
      <c r="M150" s="8" t="n">
        <v>1199</v>
      </c>
      <c r="N150" s="8" t="n">
        <v>1199</v>
      </c>
      <c r="O150" s="15"/>
      <c r="P150" s="15"/>
      <c r="Q150" s="15"/>
      <c r="R150" s="15"/>
      <c r="S150" s="12"/>
    </row>
    <row r="151" customFormat="false" ht="14.25" hidden="false" customHeight="true" outlineLevel="0" collapsed="false">
      <c r="A151" s="8" t="n">
        <v>28</v>
      </c>
      <c r="B151" s="12" t="s">
        <v>169</v>
      </c>
      <c r="C151" s="8"/>
      <c r="D151" s="8" t="s">
        <v>143</v>
      </c>
      <c r="E151" s="8" t="s">
        <v>143</v>
      </c>
      <c r="F151" s="8"/>
      <c r="G151" s="8" t="n">
        <v>9800</v>
      </c>
      <c r="H151" s="12"/>
      <c r="I151" s="15" t="n">
        <f aca="false">J151/135%</f>
        <v>533.270558694288</v>
      </c>
      <c r="J151" s="15" t="n">
        <f aca="false">M151/2/118%</f>
        <v>719.915254237288</v>
      </c>
      <c r="K151" s="12"/>
      <c r="L151" s="12"/>
      <c r="M151" s="8" t="n">
        <v>1699</v>
      </c>
      <c r="N151" s="8" t="n">
        <v>1699</v>
      </c>
      <c r="O151" s="15"/>
      <c r="P151" s="15"/>
      <c r="Q151" s="15"/>
      <c r="R151" s="15"/>
      <c r="S151" s="12"/>
    </row>
    <row r="152" customFormat="false" ht="14.25" hidden="false" customHeight="true" outlineLevel="0" collapsed="false">
      <c r="A152" s="8" t="n">
        <v>29</v>
      </c>
      <c r="B152" s="12" t="s">
        <v>170</v>
      </c>
      <c r="C152" s="8"/>
      <c r="D152" s="8" t="s">
        <v>143</v>
      </c>
      <c r="E152" s="8" t="s">
        <v>143</v>
      </c>
      <c r="F152" s="8"/>
      <c r="G152" s="8" t="n">
        <v>10400</v>
      </c>
      <c r="H152" s="12"/>
      <c r="I152" s="15" t="n">
        <f aca="false">J152/135%</f>
        <v>533.270558694288</v>
      </c>
      <c r="J152" s="15" t="n">
        <f aca="false">M152/2/118%</f>
        <v>719.915254237288</v>
      </c>
      <c r="K152" s="12"/>
      <c r="L152" s="12"/>
      <c r="M152" s="8" t="n">
        <v>1699</v>
      </c>
      <c r="N152" s="8" t="n">
        <v>1699</v>
      </c>
      <c r="O152" s="15"/>
      <c r="P152" s="15"/>
      <c r="Q152" s="15"/>
      <c r="R152" s="15"/>
      <c r="S152" s="12"/>
    </row>
    <row r="153" customFormat="false" ht="15" hidden="false" customHeight="true" outlineLevel="0" collapsed="false">
      <c r="A153" s="8" t="n">
        <v>30</v>
      </c>
      <c r="B153" s="12" t="s">
        <v>171</v>
      </c>
      <c r="C153" s="8"/>
      <c r="D153" s="8" t="s">
        <v>143</v>
      </c>
      <c r="E153" s="8" t="s">
        <v>143</v>
      </c>
      <c r="F153" s="8"/>
      <c r="G153" s="8" t="n">
        <v>3900</v>
      </c>
      <c r="H153" s="12"/>
      <c r="I153" s="15" t="n">
        <f aca="false">J153/135%</f>
        <v>533.270558694288</v>
      </c>
      <c r="J153" s="15" t="n">
        <f aca="false">M153/2/118%</f>
        <v>719.915254237288</v>
      </c>
      <c r="K153" s="12"/>
      <c r="L153" s="12"/>
      <c r="M153" s="8" t="n">
        <v>1699</v>
      </c>
      <c r="N153" s="8" t="n">
        <v>1699</v>
      </c>
      <c r="O153" s="15"/>
      <c r="P153" s="15"/>
      <c r="Q153" s="15"/>
      <c r="R153" s="15"/>
      <c r="S153" s="12"/>
    </row>
    <row r="154" customFormat="false" ht="15" hidden="false" customHeight="true" outlineLevel="0" collapsed="false">
      <c r="A154" s="8" t="n">
        <v>31</v>
      </c>
      <c r="B154" s="9" t="s">
        <v>172</v>
      </c>
      <c r="C154" s="8"/>
      <c r="D154" s="8" t="s">
        <v>143</v>
      </c>
      <c r="E154" s="8" t="s">
        <v>143</v>
      </c>
      <c r="F154" s="8"/>
      <c r="G154" s="8" t="n">
        <v>4250</v>
      </c>
      <c r="H154" s="12"/>
      <c r="I154" s="15" t="n">
        <f aca="false">J154/135%</f>
        <v>0</v>
      </c>
      <c r="J154" s="15" t="n">
        <f aca="false">M154/2/118%</f>
        <v>0</v>
      </c>
      <c r="K154" s="12"/>
      <c r="L154" s="12"/>
      <c r="M154" s="8"/>
      <c r="N154" s="8"/>
      <c r="O154" s="15"/>
      <c r="P154" s="15"/>
      <c r="Q154" s="15"/>
      <c r="R154" s="15"/>
      <c r="S154" s="12"/>
    </row>
    <row r="155" customFormat="false" ht="15" hidden="false" customHeight="true" outlineLevel="0" collapsed="false">
      <c r="A155" s="8" t="n">
        <v>32</v>
      </c>
      <c r="B155" s="9" t="s">
        <v>173</v>
      </c>
      <c r="C155" s="8"/>
      <c r="D155" s="8" t="s">
        <v>143</v>
      </c>
      <c r="E155" s="8" t="s">
        <v>143</v>
      </c>
      <c r="F155" s="8"/>
      <c r="G155" s="8" t="n">
        <v>5450</v>
      </c>
      <c r="H155" s="12"/>
      <c r="I155" s="15" t="n">
        <f aca="false">J155/135%</f>
        <v>0</v>
      </c>
      <c r="J155" s="15" t="n">
        <f aca="false">M155/2/118%</f>
        <v>0</v>
      </c>
      <c r="K155" s="12"/>
      <c r="L155" s="12"/>
      <c r="M155" s="8"/>
      <c r="N155" s="8"/>
      <c r="O155" s="15"/>
      <c r="P155" s="15"/>
      <c r="Q155" s="15"/>
      <c r="R155" s="15"/>
      <c r="S155" s="12"/>
    </row>
    <row r="156" customFormat="false" ht="15" hidden="false" customHeight="true" outlineLevel="0" collapsed="false">
      <c r="A156" s="8" t="n">
        <v>33</v>
      </c>
      <c r="B156" s="9" t="s">
        <v>174</v>
      </c>
      <c r="C156" s="8"/>
      <c r="D156" s="8" t="s">
        <v>143</v>
      </c>
      <c r="E156" s="8" t="s">
        <v>143</v>
      </c>
      <c r="F156" s="8"/>
      <c r="G156" s="8" t="n">
        <v>6960</v>
      </c>
      <c r="H156" s="12"/>
      <c r="I156" s="15" t="n">
        <f aca="false">J156/135%</f>
        <v>0</v>
      </c>
      <c r="J156" s="15" t="n">
        <f aca="false">M156/2/118%</f>
        <v>0</v>
      </c>
      <c r="K156" s="12"/>
      <c r="L156" s="12"/>
      <c r="M156" s="8"/>
      <c r="N156" s="8"/>
      <c r="O156" s="15"/>
      <c r="P156" s="15"/>
      <c r="Q156" s="15"/>
      <c r="R156" s="15"/>
      <c r="S156" s="12"/>
    </row>
    <row r="157" customFormat="false" ht="15" hidden="false" customHeight="true" outlineLevel="0" collapsed="false">
      <c r="A157" s="8"/>
      <c r="B157" s="9"/>
      <c r="C157" s="8"/>
      <c r="D157" s="8"/>
      <c r="E157" s="8"/>
      <c r="F157" s="8"/>
      <c r="G157" s="8"/>
      <c r="H157" s="12"/>
      <c r="I157" s="12"/>
      <c r="J157" s="12"/>
      <c r="K157" s="12"/>
      <c r="L157" s="12"/>
      <c r="M157" s="8"/>
      <c r="N157" s="8"/>
      <c r="O157" s="15"/>
      <c r="P157" s="15"/>
      <c r="Q157" s="15"/>
      <c r="R157" s="15"/>
      <c r="S157" s="12"/>
    </row>
    <row r="158" customFormat="false" ht="15" hidden="false" customHeight="true" outlineLevel="0" collapsed="false">
      <c r="A158" s="8" t="n">
        <v>1</v>
      </c>
      <c r="B158" s="9" t="s">
        <v>142</v>
      </c>
      <c r="C158" s="8"/>
      <c r="D158" s="8" t="s">
        <v>175</v>
      </c>
      <c r="E158" s="8" t="s">
        <v>175</v>
      </c>
      <c r="F158" s="8"/>
      <c r="G158" s="8" t="n">
        <v>8940</v>
      </c>
      <c r="H158" s="12"/>
      <c r="I158" s="15" t="n">
        <f aca="false">J158/135%</f>
        <v>470.495919648462</v>
      </c>
      <c r="J158" s="15" t="n">
        <f aca="false">M158/2/118%</f>
        <v>635.169491525424</v>
      </c>
      <c r="K158" s="12"/>
      <c r="L158" s="12"/>
      <c r="M158" s="8" t="n">
        <v>1499</v>
      </c>
      <c r="N158" s="8" t="n">
        <v>1499</v>
      </c>
      <c r="O158" s="15"/>
      <c r="P158" s="15"/>
      <c r="Q158" s="15"/>
      <c r="R158" s="15"/>
      <c r="S158" s="12"/>
    </row>
    <row r="159" customFormat="false" ht="15" hidden="false" customHeight="true" outlineLevel="0" collapsed="false">
      <c r="A159" s="8" t="n">
        <v>2</v>
      </c>
      <c r="B159" s="9" t="s">
        <v>144</v>
      </c>
      <c r="C159" s="8"/>
      <c r="D159" s="8" t="s">
        <v>175</v>
      </c>
      <c r="E159" s="8" t="s">
        <v>175</v>
      </c>
      <c r="F159" s="8"/>
      <c r="G159" s="8" t="n">
        <v>9940</v>
      </c>
      <c r="H159" s="12"/>
      <c r="I159" s="15" t="n">
        <f aca="false">J159/135%</f>
        <v>470.495919648462</v>
      </c>
      <c r="J159" s="15" t="n">
        <f aca="false">M159/2/118%</f>
        <v>635.169491525424</v>
      </c>
      <c r="K159" s="12"/>
      <c r="L159" s="12"/>
      <c r="M159" s="8" t="n">
        <v>1499</v>
      </c>
      <c r="N159" s="8" t="n">
        <v>1499</v>
      </c>
      <c r="O159" s="15"/>
      <c r="P159" s="15"/>
      <c r="Q159" s="15"/>
      <c r="R159" s="15"/>
      <c r="S159" s="12"/>
    </row>
    <row r="160" customFormat="false" ht="15" hidden="false" customHeight="true" outlineLevel="0" collapsed="false">
      <c r="A160" s="8" t="n">
        <v>3</v>
      </c>
      <c r="B160" s="9" t="s">
        <v>117</v>
      </c>
      <c r="C160" s="8"/>
      <c r="D160" s="8" t="s">
        <v>175</v>
      </c>
      <c r="E160" s="8" t="s">
        <v>175</v>
      </c>
      <c r="F160" s="8"/>
      <c r="G160" s="8" t="n">
        <v>6270</v>
      </c>
      <c r="H160" s="12"/>
      <c r="I160" s="15" t="n">
        <f aca="false">J160/135%</f>
        <v>407.721280602637</v>
      </c>
      <c r="J160" s="15" t="n">
        <f aca="false">M160/2/118%</f>
        <v>550.423728813559</v>
      </c>
      <c r="K160" s="12"/>
      <c r="L160" s="12"/>
      <c r="M160" s="8" t="n">
        <v>1299</v>
      </c>
      <c r="N160" s="8" t="n">
        <v>1299</v>
      </c>
      <c r="O160" s="15"/>
      <c r="P160" s="15"/>
      <c r="Q160" s="15"/>
      <c r="R160" s="15"/>
      <c r="S160" s="12"/>
    </row>
    <row r="161" customFormat="false" ht="15" hidden="false" customHeight="true" outlineLevel="0" collapsed="false">
      <c r="A161" s="8" t="n">
        <v>4</v>
      </c>
      <c r="B161" s="9" t="s">
        <v>145</v>
      </c>
      <c r="C161" s="8"/>
      <c r="D161" s="8" t="s">
        <v>175</v>
      </c>
      <c r="E161" s="8" t="s">
        <v>175</v>
      </c>
      <c r="F161" s="8"/>
      <c r="G161" s="8" t="n">
        <v>7280</v>
      </c>
      <c r="H161" s="12"/>
      <c r="I161" s="15" t="n">
        <f aca="false">J161/135%</f>
        <v>407.721280602637</v>
      </c>
      <c r="J161" s="15" t="n">
        <f aca="false">M161/2/118%</f>
        <v>550.423728813559</v>
      </c>
      <c r="K161" s="12"/>
      <c r="L161" s="12"/>
      <c r="M161" s="8" t="n">
        <v>1299</v>
      </c>
      <c r="N161" s="8" t="n">
        <v>1299</v>
      </c>
      <c r="O161" s="15"/>
      <c r="P161" s="15"/>
      <c r="Q161" s="15"/>
      <c r="R161" s="15"/>
      <c r="S161" s="12"/>
    </row>
    <row r="162" customFormat="false" ht="15" hidden="false" customHeight="true" outlineLevel="0" collapsed="false">
      <c r="A162" s="8" t="n">
        <v>5</v>
      </c>
      <c r="B162" s="9" t="s">
        <v>146</v>
      </c>
      <c r="C162" s="8"/>
      <c r="D162" s="8" t="s">
        <v>175</v>
      </c>
      <c r="E162" s="8" t="s">
        <v>175</v>
      </c>
      <c r="F162" s="8"/>
      <c r="G162" s="8" t="n">
        <v>5680</v>
      </c>
      <c r="H162" s="12"/>
      <c r="I162" s="15" t="n">
        <f aca="false">J162/135%</f>
        <v>407.721280602637</v>
      </c>
      <c r="J162" s="15" t="n">
        <f aca="false">M162/2/118%</f>
        <v>550.423728813559</v>
      </c>
      <c r="K162" s="12"/>
      <c r="L162" s="12"/>
      <c r="M162" s="8" t="n">
        <v>1299</v>
      </c>
      <c r="N162" s="8" t="n">
        <v>1299</v>
      </c>
      <c r="O162" s="15"/>
      <c r="P162" s="15"/>
      <c r="Q162" s="15"/>
      <c r="R162" s="15"/>
      <c r="S162" s="12"/>
    </row>
    <row r="163" customFormat="false" ht="15" hidden="false" customHeight="true" outlineLevel="0" collapsed="false">
      <c r="A163" s="8" t="n">
        <v>6</v>
      </c>
      <c r="B163" s="9" t="s">
        <v>147</v>
      </c>
      <c r="C163" s="8"/>
      <c r="D163" s="8" t="s">
        <v>175</v>
      </c>
      <c r="E163" s="8" t="s">
        <v>175</v>
      </c>
      <c r="F163" s="8"/>
      <c r="G163" s="8" t="n">
        <v>5250</v>
      </c>
      <c r="H163" s="12"/>
      <c r="I163" s="15" t="n">
        <f aca="false">J163/135%</f>
        <v>407.721280602637</v>
      </c>
      <c r="J163" s="15" t="n">
        <f aca="false">M163/2/118%</f>
        <v>550.423728813559</v>
      </c>
      <c r="K163" s="12"/>
      <c r="L163" s="12"/>
      <c r="M163" s="8" t="n">
        <v>1299</v>
      </c>
      <c r="N163" s="8" t="n">
        <v>1299</v>
      </c>
      <c r="O163" s="15"/>
      <c r="P163" s="15"/>
      <c r="Q163" s="15"/>
      <c r="R163" s="15"/>
      <c r="S163" s="12"/>
    </row>
    <row r="164" customFormat="false" ht="15" hidden="false" customHeight="true" outlineLevel="0" collapsed="false">
      <c r="A164" s="8" t="n">
        <v>7</v>
      </c>
      <c r="B164" s="9" t="s">
        <v>148</v>
      </c>
      <c r="C164" s="8"/>
      <c r="D164" s="8" t="s">
        <v>175</v>
      </c>
      <c r="E164" s="8" t="s">
        <v>175</v>
      </c>
      <c r="F164" s="8"/>
      <c r="G164" s="8" t="n">
        <v>5320</v>
      </c>
      <c r="H164" s="12"/>
      <c r="I164" s="15" t="n">
        <f aca="false">J164/135%</f>
        <v>407.721280602637</v>
      </c>
      <c r="J164" s="15" t="n">
        <f aca="false">M164/2/118%</f>
        <v>550.423728813559</v>
      </c>
      <c r="K164" s="12"/>
      <c r="L164" s="12"/>
      <c r="M164" s="8" t="n">
        <v>1299</v>
      </c>
      <c r="N164" s="8" t="n">
        <v>1299</v>
      </c>
      <c r="O164" s="15"/>
      <c r="P164" s="15"/>
      <c r="Q164" s="15"/>
      <c r="R164" s="15"/>
      <c r="S164" s="12"/>
    </row>
    <row r="165" customFormat="false" ht="15" hidden="false" customHeight="true" outlineLevel="0" collapsed="false">
      <c r="A165" s="8" t="n">
        <v>8</v>
      </c>
      <c r="B165" s="9" t="s">
        <v>149</v>
      </c>
      <c r="C165" s="8"/>
      <c r="D165" s="8" t="s">
        <v>175</v>
      </c>
      <c r="E165" s="8" t="s">
        <v>175</v>
      </c>
      <c r="F165" s="8"/>
      <c r="G165" s="8" t="n">
        <v>5040</v>
      </c>
      <c r="H165" s="12"/>
      <c r="I165" s="15" t="n">
        <f aca="false">J165/135%</f>
        <v>470.495919648462</v>
      </c>
      <c r="J165" s="15" t="n">
        <f aca="false">M165/2/118%</f>
        <v>635.169491525424</v>
      </c>
      <c r="K165" s="12"/>
      <c r="L165" s="12"/>
      <c r="M165" s="8" t="n">
        <v>1499</v>
      </c>
      <c r="N165" s="8" t="n">
        <v>1499</v>
      </c>
      <c r="O165" s="15"/>
      <c r="P165" s="15"/>
      <c r="Q165" s="15"/>
      <c r="R165" s="15"/>
      <c r="S165" s="12"/>
    </row>
    <row r="166" customFormat="false" ht="15" hidden="false" customHeight="true" outlineLevel="0" collapsed="false">
      <c r="A166" s="8" t="n">
        <v>9</v>
      </c>
      <c r="B166" s="9" t="s">
        <v>150</v>
      </c>
      <c r="C166" s="8"/>
      <c r="D166" s="8" t="s">
        <v>175</v>
      </c>
      <c r="E166" s="8" t="s">
        <v>175</v>
      </c>
      <c r="F166" s="8"/>
      <c r="G166" s="8" t="n">
        <v>26860</v>
      </c>
      <c r="H166" s="12"/>
      <c r="I166" s="15" t="n">
        <f aca="false">J166/135%</f>
        <v>533.270558694288</v>
      </c>
      <c r="J166" s="15" t="n">
        <f aca="false">M166/2/118%</f>
        <v>719.915254237288</v>
      </c>
      <c r="K166" s="12"/>
      <c r="L166" s="12"/>
      <c r="M166" s="8" t="n">
        <v>1699</v>
      </c>
      <c r="N166" s="8" t="n">
        <v>1699</v>
      </c>
      <c r="O166" s="15"/>
      <c r="P166" s="15"/>
      <c r="Q166" s="15"/>
      <c r="R166" s="15"/>
      <c r="S166" s="12"/>
    </row>
    <row r="167" customFormat="false" ht="15" hidden="false" customHeight="true" outlineLevel="0" collapsed="false">
      <c r="A167" s="8" t="n">
        <v>10</v>
      </c>
      <c r="B167" s="9" t="s">
        <v>151</v>
      </c>
      <c r="C167" s="8"/>
      <c r="D167" s="8" t="s">
        <v>175</v>
      </c>
      <c r="E167" s="8" t="s">
        <v>175</v>
      </c>
      <c r="F167" s="8"/>
      <c r="G167" s="8" t="n">
        <v>6100</v>
      </c>
      <c r="H167" s="12"/>
      <c r="I167" s="15" t="n">
        <f aca="false">J167/135%</f>
        <v>470.495919648462</v>
      </c>
      <c r="J167" s="15" t="n">
        <f aca="false">M167/2/118%</f>
        <v>635.169491525424</v>
      </c>
      <c r="K167" s="12"/>
      <c r="L167" s="12"/>
      <c r="M167" s="8" t="n">
        <v>1499</v>
      </c>
      <c r="N167" s="8" t="n">
        <v>1499</v>
      </c>
      <c r="O167" s="15"/>
      <c r="P167" s="15"/>
      <c r="Q167" s="15"/>
      <c r="R167" s="15"/>
      <c r="S167" s="12"/>
    </row>
    <row r="168" customFormat="false" ht="15" hidden="false" customHeight="true" outlineLevel="0" collapsed="false">
      <c r="A168" s="8" t="n">
        <v>11</v>
      </c>
      <c r="B168" s="9" t="s">
        <v>152</v>
      </c>
      <c r="C168" s="8"/>
      <c r="D168" s="8" t="s">
        <v>175</v>
      </c>
      <c r="E168" s="8" t="s">
        <v>175</v>
      </c>
      <c r="F168" s="8"/>
      <c r="G168" s="8" t="n">
        <v>12800</v>
      </c>
      <c r="H168" s="12"/>
      <c r="I168" s="15" t="n">
        <f aca="false">J168/135%</f>
        <v>533.270558694288</v>
      </c>
      <c r="J168" s="15" t="n">
        <f aca="false">M168/2/118%</f>
        <v>719.915254237288</v>
      </c>
      <c r="K168" s="12"/>
      <c r="L168" s="12"/>
      <c r="M168" s="8" t="n">
        <v>1699</v>
      </c>
      <c r="N168" s="8" t="n">
        <v>1699</v>
      </c>
      <c r="O168" s="15"/>
      <c r="P168" s="15"/>
      <c r="Q168" s="15"/>
      <c r="R168" s="15"/>
      <c r="S168" s="12"/>
    </row>
    <row r="169" customFormat="false" ht="15" hidden="false" customHeight="true" outlineLevel="0" collapsed="false">
      <c r="A169" s="8" t="n">
        <v>12</v>
      </c>
      <c r="B169" s="9" t="s">
        <v>153</v>
      </c>
      <c r="C169" s="8"/>
      <c r="D169" s="8" t="s">
        <v>175</v>
      </c>
      <c r="E169" s="8" t="s">
        <v>175</v>
      </c>
      <c r="F169" s="8"/>
      <c r="G169" s="8" t="n">
        <v>7850</v>
      </c>
      <c r="H169" s="12"/>
      <c r="I169" s="15" t="n">
        <f aca="false">J169/135%</f>
        <v>470.495919648462</v>
      </c>
      <c r="J169" s="15" t="n">
        <f aca="false">M169/2/118%</f>
        <v>635.169491525424</v>
      </c>
      <c r="K169" s="12"/>
      <c r="L169" s="12"/>
      <c r="M169" s="8" t="n">
        <v>1499</v>
      </c>
      <c r="N169" s="8" t="n">
        <v>1499</v>
      </c>
      <c r="O169" s="15"/>
      <c r="P169" s="15"/>
      <c r="Q169" s="15"/>
      <c r="R169" s="15"/>
      <c r="S169" s="12"/>
    </row>
    <row r="170" customFormat="false" ht="15" hidden="false" customHeight="true" outlineLevel="0" collapsed="false">
      <c r="A170" s="8" t="n">
        <v>13</v>
      </c>
      <c r="B170" s="9" t="s">
        <v>154</v>
      </c>
      <c r="C170" s="8"/>
      <c r="D170" s="8" t="s">
        <v>175</v>
      </c>
      <c r="E170" s="8" t="s">
        <v>175</v>
      </c>
      <c r="F170" s="8"/>
      <c r="G170" s="8" t="n">
        <v>4580</v>
      </c>
      <c r="H170" s="12"/>
      <c r="I170" s="15" t="n">
        <f aca="false">J170/135%</f>
        <v>407.721280602637</v>
      </c>
      <c r="J170" s="15" t="n">
        <f aca="false">M170/2/118%</f>
        <v>550.423728813559</v>
      </c>
      <c r="K170" s="12"/>
      <c r="L170" s="12"/>
      <c r="M170" s="8" t="n">
        <v>1299</v>
      </c>
      <c r="N170" s="8" t="n">
        <v>1299</v>
      </c>
      <c r="O170" s="15"/>
      <c r="P170" s="15"/>
      <c r="Q170" s="15"/>
      <c r="R170" s="15"/>
      <c r="S170" s="12"/>
    </row>
    <row r="171" customFormat="false" ht="15" hidden="false" customHeight="true" outlineLevel="0" collapsed="false">
      <c r="A171" s="8" t="n">
        <v>14</v>
      </c>
      <c r="B171" s="9" t="s">
        <v>155</v>
      </c>
      <c r="C171" s="8"/>
      <c r="D171" s="8" t="s">
        <v>175</v>
      </c>
      <c r="E171" s="8" t="s">
        <v>175</v>
      </c>
      <c r="F171" s="8"/>
      <c r="G171" s="8" t="n">
        <v>9690</v>
      </c>
      <c r="H171" s="12"/>
      <c r="I171" s="15" t="n">
        <f aca="false">J171/135%</f>
        <v>470.495919648462</v>
      </c>
      <c r="J171" s="15" t="n">
        <f aca="false">M171/2/118%</f>
        <v>635.169491525424</v>
      </c>
      <c r="K171" s="12"/>
      <c r="L171" s="12"/>
      <c r="M171" s="8" t="n">
        <v>1499</v>
      </c>
      <c r="N171" s="8" t="n">
        <v>1499</v>
      </c>
      <c r="O171" s="15"/>
      <c r="P171" s="15"/>
      <c r="Q171" s="15"/>
      <c r="R171" s="15"/>
      <c r="S171" s="12"/>
    </row>
    <row r="172" customFormat="false" ht="15" hidden="false" customHeight="true" outlineLevel="0" collapsed="false">
      <c r="A172" s="8" t="n">
        <v>15</v>
      </c>
      <c r="B172" s="9" t="s">
        <v>156</v>
      </c>
      <c r="C172" s="8"/>
      <c r="D172" s="8" t="s">
        <v>175</v>
      </c>
      <c r="E172" s="8" t="s">
        <v>175</v>
      </c>
      <c r="F172" s="8"/>
      <c r="G172" s="8" t="n">
        <v>33160</v>
      </c>
      <c r="H172" s="12"/>
      <c r="I172" s="15" t="n">
        <f aca="false">J172/135%</f>
        <v>941.305712492153</v>
      </c>
      <c r="J172" s="15" t="n">
        <f aca="false">M172/2/118%</f>
        <v>1270.76271186441</v>
      </c>
      <c r="K172" s="12"/>
      <c r="L172" s="12"/>
      <c r="M172" s="8" t="n">
        <v>2999</v>
      </c>
      <c r="N172" s="8" t="n">
        <v>2999</v>
      </c>
      <c r="O172" s="15"/>
      <c r="P172" s="15"/>
      <c r="Q172" s="15"/>
      <c r="R172" s="15"/>
      <c r="S172" s="12"/>
    </row>
    <row r="173" customFormat="false" ht="15" hidden="false" customHeight="true" outlineLevel="0" collapsed="false">
      <c r="A173" s="8" t="n">
        <v>16</v>
      </c>
      <c r="B173" s="9" t="s">
        <v>157</v>
      </c>
      <c r="C173" s="8"/>
      <c r="D173" s="8" t="s">
        <v>175</v>
      </c>
      <c r="E173" s="8" t="s">
        <v>175</v>
      </c>
      <c r="F173" s="8"/>
      <c r="G173" s="8" t="n">
        <v>8380</v>
      </c>
      <c r="H173" s="12"/>
      <c r="I173" s="15" t="n">
        <f aca="false">J173/135%</f>
        <v>596.045197740113</v>
      </c>
      <c r="J173" s="15" t="n">
        <f aca="false">M173/2/118%</f>
        <v>804.661016949153</v>
      </c>
      <c r="K173" s="12"/>
      <c r="L173" s="12"/>
      <c r="M173" s="8" t="n">
        <v>1899</v>
      </c>
      <c r="N173" s="8" t="n">
        <v>1899</v>
      </c>
      <c r="O173" s="15"/>
      <c r="P173" s="15"/>
      <c r="Q173" s="15"/>
      <c r="R173" s="15"/>
      <c r="S173" s="12"/>
    </row>
    <row r="174" customFormat="false" ht="15" hidden="false" customHeight="true" outlineLevel="0" collapsed="false">
      <c r="A174" s="8" t="n">
        <v>17</v>
      </c>
      <c r="B174" s="9" t="s">
        <v>158</v>
      </c>
      <c r="C174" s="8"/>
      <c r="D174" s="8" t="s">
        <v>175</v>
      </c>
      <c r="E174" s="8" t="s">
        <v>175</v>
      </c>
      <c r="F174" s="8"/>
      <c r="G174" s="8" t="n">
        <v>2650</v>
      </c>
      <c r="H174" s="12"/>
      <c r="I174" s="15" t="n">
        <f aca="false">J174/135%</f>
        <v>407.721280602637</v>
      </c>
      <c r="J174" s="15" t="n">
        <f aca="false">M174/2/118%</f>
        <v>550.423728813559</v>
      </c>
      <c r="K174" s="12"/>
      <c r="L174" s="12"/>
      <c r="M174" s="8" t="n">
        <v>1299</v>
      </c>
      <c r="N174" s="8" t="n">
        <v>1299</v>
      </c>
      <c r="O174" s="15"/>
      <c r="P174" s="15"/>
      <c r="Q174" s="15"/>
      <c r="R174" s="15"/>
      <c r="S174" s="12"/>
    </row>
    <row r="175" customFormat="false" ht="15" hidden="false" customHeight="true" outlineLevel="0" collapsed="false">
      <c r="A175" s="8" t="n">
        <v>18</v>
      </c>
      <c r="B175" s="9" t="s">
        <v>159</v>
      </c>
      <c r="C175" s="8"/>
      <c r="D175" s="8" t="s">
        <v>175</v>
      </c>
      <c r="E175" s="8" t="s">
        <v>175</v>
      </c>
      <c r="F175" s="8"/>
      <c r="G175" s="8" t="n">
        <v>8500</v>
      </c>
      <c r="H175" s="12"/>
      <c r="I175" s="15" t="n">
        <f aca="false">J175/135%</f>
        <v>470.495919648462</v>
      </c>
      <c r="J175" s="15" t="n">
        <f aca="false">M175/2/118%</f>
        <v>635.169491525424</v>
      </c>
      <c r="K175" s="12"/>
      <c r="L175" s="12"/>
      <c r="M175" s="8" t="n">
        <v>1499</v>
      </c>
      <c r="N175" s="8" t="n">
        <v>1499</v>
      </c>
      <c r="O175" s="15"/>
      <c r="P175" s="15"/>
      <c r="Q175" s="15"/>
      <c r="R175" s="15"/>
      <c r="S175" s="12"/>
    </row>
    <row r="176" customFormat="false" ht="15" hidden="false" customHeight="true" outlineLevel="0" collapsed="false">
      <c r="A176" s="8" t="n">
        <v>19</v>
      </c>
      <c r="B176" s="9" t="s">
        <v>160</v>
      </c>
      <c r="C176" s="8"/>
      <c r="D176" s="8" t="s">
        <v>175</v>
      </c>
      <c r="E176" s="8" t="s">
        <v>175</v>
      </c>
      <c r="F176" s="8"/>
      <c r="G176" s="8" t="n">
        <v>33500</v>
      </c>
      <c r="H176" s="12"/>
      <c r="I176" s="15" t="n">
        <f aca="false">J176/135%</f>
        <v>941.305712492153</v>
      </c>
      <c r="J176" s="15" t="n">
        <f aca="false">M176/2/118%</f>
        <v>1270.76271186441</v>
      </c>
      <c r="K176" s="12"/>
      <c r="L176" s="12"/>
      <c r="M176" s="8" t="n">
        <v>2999</v>
      </c>
      <c r="N176" s="8" t="n">
        <v>2999</v>
      </c>
      <c r="O176" s="15"/>
      <c r="P176" s="15"/>
      <c r="Q176" s="15"/>
      <c r="R176" s="15"/>
      <c r="S176" s="12"/>
    </row>
    <row r="177" customFormat="false" ht="15" hidden="false" customHeight="true" outlineLevel="0" collapsed="false">
      <c r="A177" s="8" t="n">
        <v>20</v>
      </c>
      <c r="B177" s="9" t="s">
        <v>161</v>
      </c>
      <c r="C177" s="8"/>
      <c r="D177" s="8" t="s">
        <v>175</v>
      </c>
      <c r="E177" s="8" t="s">
        <v>175</v>
      </c>
      <c r="F177" s="8"/>
      <c r="G177" s="8" t="n">
        <v>3000</v>
      </c>
      <c r="H177" s="12"/>
      <c r="I177" s="15" t="n">
        <f aca="false">J177/135%</f>
        <v>470.495919648462</v>
      </c>
      <c r="J177" s="15" t="n">
        <f aca="false">M177/2/118%</f>
        <v>635.169491525424</v>
      </c>
      <c r="K177" s="12"/>
      <c r="L177" s="12"/>
      <c r="M177" s="8" t="n">
        <v>1499</v>
      </c>
      <c r="N177" s="8" t="n">
        <v>1499</v>
      </c>
      <c r="O177" s="15"/>
      <c r="P177" s="15"/>
      <c r="Q177" s="15"/>
      <c r="R177" s="15"/>
      <c r="S177" s="12"/>
    </row>
    <row r="178" customFormat="false" ht="15" hidden="false" customHeight="true" outlineLevel="0" collapsed="false">
      <c r="A178" s="8" t="n">
        <v>21</v>
      </c>
      <c r="B178" s="9" t="s">
        <v>162</v>
      </c>
      <c r="C178" s="8"/>
      <c r="D178" s="8" t="s">
        <v>175</v>
      </c>
      <c r="E178" s="8" t="s">
        <v>175</v>
      </c>
      <c r="F178" s="8"/>
      <c r="G178" s="8" t="n">
        <v>7650</v>
      </c>
      <c r="H178" s="12"/>
      <c r="I178" s="15" t="n">
        <f aca="false">J178/135%</f>
        <v>596.045197740113</v>
      </c>
      <c r="J178" s="15" t="n">
        <f aca="false">M178/2/118%</f>
        <v>804.661016949153</v>
      </c>
      <c r="K178" s="12"/>
      <c r="L178" s="12"/>
      <c r="M178" s="8" t="n">
        <v>1899</v>
      </c>
      <c r="N178" s="8" t="n">
        <v>1899</v>
      </c>
      <c r="O178" s="15"/>
      <c r="P178" s="15"/>
      <c r="Q178" s="15"/>
      <c r="R178" s="15"/>
      <c r="S178" s="12"/>
    </row>
    <row r="179" customFormat="false" ht="15" hidden="false" customHeight="true" outlineLevel="0" collapsed="false">
      <c r="A179" s="8" t="n">
        <v>22</v>
      </c>
      <c r="B179" s="9" t="s">
        <v>163</v>
      </c>
      <c r="C179" s="8"/>
      <c r="D179" s="8" t="s">
        <v>175</v>
      </c>
      <c r="E179" s="8" t="s">
        <v>175</v>
      </c>
      <c r="F179" s="8"/>
      <c r="G179" s="8" t="n">
        <v>22400</v>
      </c>
      <c r="H179" s="12"/>
      <c r="I179" s="15" t="n">
        <f aca="false">J179/135%</f>
        <v>470.495919648462</v>
      </c>
      <c r="J179" s="15" t="n">
        <f aca="false">M179/2/118%</f>
        <v>635.169491525424</v>
      </c>
      <c r="K179" s="12"/>
      <c r="L179" s="12"/>
      <c r="M179" s="8" t="n">
        <v>1499</v>
      </c>
      <c r="N179" s="8" t="n">
        <v>1499</v>
      </c>
      <c r="O179" s="15"/>
      <c r="P179" s="15"/>
      <c r="Q179" s="15"/>
      <c r="R179" s="15"/>
      <c r="S179" s="12"/>
    </row>
    <row r="180" customFormat="false" ht="15" hidden="false" customHeight="true" outlineLevel="0" collapsed="false">
      <c r="A180" s="8" t="n">
        <v>23</v>
      </c>
      <c r="B180" s="9" t="s">
        <v>164</v>
      </c>
      <c r="C180" s="8"/>
      <c r="D180" s="8" t="s">
        <v>175</v>
      </c>
      <c r="E180" s="8" t="s">
        <v>175</v>
      </c>
      <c r="F180" s="8"/>
      <c r="G180" s="8" t="n">
        <v>3560</v>
      </c>
      <c r="H180" s="12"/>
      <c r="I180" s="15" t="n">
        <f aca="false">J180/135%</f>
        <v>596.045197740113</v>
      </c>
      <c r="J180" s="15" t="n">
        <f aca="false">M180/2/118%</f>
        <v>804.661016949153</v>
      </c>
      <c r="K180" s="12"/>
      <c r="L180" s="12"/>
      <c r="M180" s="8" t="n">
        <v>1899</v>
      </c>
      <c r="N180" s="8" t="n">
        <v>1899</v>
      </c>
      <c r="O180" s="15"/>
      <c r="P180" s="15"/>
      <c r="Q180" s="15"/>
      <c r="R180" s="15"/>
      <c r="S180" s="12"/>
    </row>
    <row r="181" customFormat="false" ht="15" hidden="false" customHeight="true" outlineLevel="0" collapsed="false">
      <c r="A181" s="8" t="n">
        <v>24</v>
      </c>
      <c r="B181" s="9" t="s">
        <v>165</v>
      </c>
      <c r="C181" s="8"/>
      <c r="D181" s="8" t="s">
        <v>175</v>
      </c>
      <c r="E181" s="8" t="s">
        <v>175</v>
      </c>
      <c r="F181" s="8"/>
      <c r="G181" s="8" t="n">
        <v>7650</v>
      </c>
      <c r="H181" s="12"/>
      <c r="I181" s="15" t="n">
        <f aca="false">J181/135%</f>
        <v>941.305712492153</v>
      </c>
      <c r="J181" s="15" t="n">
        <f aca="false">M181/2/118%</f>
        <v>1270.76271186441</v>
      </c>
      <c r="K181" s="12"/>
      <c r="L181" s="12"/>
      <c r="M181" s="8" t="n">
        <v>2999</v>
      </c>
      <c r="N181" s="8" t="n">
        <v>2999</v>
      </c>
      <c r="O181" s="15"/>
      <c r="P181" s="15"/>
      <c r="Q181" s="15"/>
      <c r="R181" s="15"/>
      <c r="S181" s="12"/>
    </row>
    <row r="182" customFormat="false" ht="15" hidden="false" customHeight="true" outlineLevel="0" collapsed="false">
      <c r="A182" s="8" t="n">
        <v>25</v>
      </c>
      <c r="B182" s="9" t="s">
        <v>166</v>
      </c>
      <c r="C182" s="8"/>
      <c r="D182" s="8" t="s">
        <v>175</v>
      </c>
      <c r="E182" s="8" t="s">
        <v>175</v>
      </c>
      <c r="F182" s="8"/>
      <c r="G182" s="8" t="n">
        <v>8950</v>
      </c>
      <c r="H182" s="12"/>
      <c r="I182" s="15" t="n">
        <f aca="false">J182/135%</f>
        <v>941.305712492153</v>
      </c>
      <c r="J182" s="15" t="n">
        <f aca="false">M182/2/118%</f>
        <v>1270.76271186441</v>
      </c>
      <c r="K182" s="12"/>
      <c r="L182" s="12"/>
      <c r="M182" s="8" t="n">
        <v>2999</v>
      </c>
      <c r="N182" s="8" t="n">
        <v>2999</v>
      </c>
      <c r="O182" s="15"/>
      <c r="P182" s="15"/>
      <c r="Q182" s="15"/>
      <c r="R182" s="15"/>
      <c r="S182" s="12"/>
    </row>
    <row r="183" customFormat="false" ht="15" hidden="false" customHeight="true" outlineLevel="0" collapsed="false">
      <c r="A183" s="8" t="n">
        <v>26</v>
      </c>
      <c r="B183" s="9" t="s">
        <v>167</v>
      </c>
      <c r="C183" s="8"/>
      <c r="D183" s="8" t="s">
        <v>175</v>
      </c>
      <c r="E183" s="8" t="s">
        <v>175</v>
      </c>
      <c r="F183" s="8"/>
      <c r="G183" s="8" t="n">
        <v>5340</v>
      </c>
      <c r="H183" s="12"/>
      <c r="I183" s="15" t="n">
        <f aca="false">J183/135%</f>
        <v>941.305712492153</v>
      </c>
      <c r="J183" s="15" t="n">
        <f aca="false">M183/2/118%</f>
        <v>1270.76271186441</v>
      </c>
      <c r="K183" s="12"/>
      <c r="L183" s="12"/>
      <c r="M183" s="8" t="n">
        <v>2999</v>
      </c>
      <c r="N183" s="8" t="n">
        <v>2999</v>
      </c>
      <c r="O183" s="15"/>
      <c r="P183" s="15"/>
      <c r="Q183" s="15"/>
      <c r="R183" s="15"/>
      <c r="S183" s="12"/>
    </row>
    <row r="184" customFormat="false" ht="15" hidden="false" customHeight="true" outlineLevel="0" collapsed="false">
      <c r="A184" s="8" t="n">
        <v>27</v>
      </c>
      <c r="B184" s="9" t="s">
        <v>168</v>
      </c>
      <c r="C184" s="8"/>
      <c r="D184" s="8" t="s">
        <v>175</v>
      </c>
      <c r="E184" s="8" t="s">
        <v>175</v>
      </c>
      <c r="F184" s="8"/>
      <c r="G184" s="8" t="n">
        <v>10500</v>
      </c>
      <c r="H184" s="12"/>
      <c r="I184" s="15" t="n">
        <f aca="false">J184/135%</f>
        <v>596.045197740113</v>
      </c>
      <c r="J184" s="15" t="n">
        <f aca="false">M184/2/118%</f>
        <v>804.661016949153</v>
      </c>
      <c r="K184" s="12"/>
      <c r="L184" s="12"/>
      <c r="M184" s="8" t="n">
        <v>1899</v>
      </c>
      <c r="N184" s="8" t="n">
        <v>1899</v>
      </c>
      <c r="O184" s="15"/>
      <c r="P184" s="15"/>
      <c r="Q184" s="15"/>
      <c r="R184" s="15"/>
      <c r="S184" s="12"/>
    </row>
    <row r="185" customFormat="false" ht="15" hidden="false" customHeight="true" outlineLevel="0" collapsed="false">
      <c r="A185" s="8" t="n">
        <v>28</v>
      </c>
      <c r="B185" s="9" t="s">
        <v>169</v>
      </c>
      <c r="C185" s="8"/>
      <c r="D185" s="8" t="s">
        <v>175</v>
      </c>
      <c r="E185" s="8" t="s">
        <v>175</v>
      </c>
      <c r="F185" s="8"/>
      <c r="G185" s="8" t="n">
        <v>9800</v>
      </c>
      <c r="H185" s="12"/>
      <c r="I185" s="15" t="n">
        <f aca="false">J185/135%</f>
        <v>941.305712492153</v>
      </c>
      <c r="J185" s="15" t="n">
        <f aca="false">M185/2/118%</f>
        <v>1270.76271186441</v>
      </c>
      <c r="K185" s="12"/>
      <c r="L185" s="12"/>
      <c r="M185" s="8" t="n">
        <v>2999</v>
      </c>
      <c r="N185" s="8" t="n">
        <v>2999</v>
      </c>
      <c r="O185" s="15"/>
      <c r="P185" s="15"/>
      <c r="Q185" s="15"/>
      <c r="R185" s="15"/>
      <c r="S185" s="12"/>
    </row>
    <row r="186" customFormat="false" ht="15" hidden="false" customHeight="true" outlineLevel="0" collapsed="false">
      <c r="A186" s="8" t="n">
        <v>29</v>
      </c>
      <c r="B186" s="9" t="s">
        <v>170</v>
      </c>
      <c r="C186" s="8"/>
      <c r="D186" s="8" t="s">
        <v>175</v>
      </c>
      <c r="E186" s="8" t="s">
        <v>175</v>
      </c>
      <c r="F186" s="8"/>
      <c r="G186" s="8" t="n">
        <v>10400</v>
      </c>
      <c r="H186" s="12"/>
      <c r="I186" s="15" t="n">
        <f aca="false">J186/135%</f>
        <v>941.305712492153</v>
      </c>
      <c r="J186" s="15" t="n">
        <f aca="false">M186/2/118%</f>
        <v>1270.76271186441</v>
      </c>
      <c r="K186" s="12"/>
      <c r="L186" s="12"/>
      <c r="M186" s="8" t="n">
        <v>2999</v>
      </c>
      <c r="N186" s="8" t="n">
        <v>2999</v>
      </c>
      <c r="O186" s="15"/>
      <c r="P186" s="15"/>
      <c r="Q186" s="15"/>
      <c r="R186" s="15"/>
      <c r="S186" s="12"/>
    </row>
    <row r="187" customFormat="false" ht="15" hidden="false" customHeight="true" outlineLevel="0" collapsed="false">
      <c r="A187" s="8" t="n">
        <v>30</v>
      </c>
      <c r="B187" s="9" t="s">
        <v>171</v>
      </c>
      <c r="C187" s="8"/>
      <c r="D187" s="8" t="s">
        <v>175</v>
      </c>
      <c r="E187" s="8" t="s">
        <v>175</v>
      </c>
      <c r="F187" s="8"/>
      <c r="G187" s="8" t="n">
        <v>3900</v>
      </c>
      <c r="H187" s="12"/>
      <c r="I187" s="15" t="n">
        <f aca="false">J187/135%</f>
        <v>941.305712492153</v>
      </c>
      <c r="J187" s="15" t="n">
        <f aca="false">M187/2/118%</f>
        <v>1270.76271186441</v>
      </c>
      <c r="K187" s="12"/>
      <c r="L187" s="12"/>
      <c r="M187" s="8" t="n">
        <v>2999</v>
      </c>
      <c r="N187" s="8" t="n">
        <v>2999</v>
      </c>
      <c r="O187" s="15"/>
      <c r="P187" s="15"/>
      <c r="Q187" s="15"/>
      <c r="R187" s="15"/>
      <c r="S187" s="12"/>
    </row>
    <row r="188" customFormat="false" ht="15" hidden="false" customHeight="true" outlineLevel="0" collapsed="false">
      <c r="A188" s="8" t="n">
        <v>31</v>
      </c>
      <c r="B188" s="9" t="s">
        <v>172</v>
      </c>
      <c r="C188" s="8"/>
      <c r="D188" s="8" t="s">
        <v>175</v>
      </c>
      <c r="E188" s="8" t="s">
        <v>175</v>
      </c>
      <c r="F188" s="8"/>
      <c r="G188" s="8" t="n">
        <v>4250</v>
      </c>
      <c r="H188" s="12"/>
      <c r="I188" s="15" t="n">
        <f aca="false">J188/135%</f>
        <v>0</v>
      </c>
      <c r="J188" s="15" t="n">
        <f aca="false">M188/2/118%</f>
        <v>0</v>
      </c>
      <c r="K188" s="12"/>
      <c r="L188" s="12"/>
      <c r="M188" s="8"/>
      <c r="N188" s="8"/>
      <c r="O188" s="15"/>
      <c r="P188" s="15"/>
      <c r="Q188" s="15"/>
      <c r="R188" s="15"/>
      <c r="S188" s="12"/>
    </row>
    <row r="189" customFormat="false" ht="15" hidden="false" customHeight="true" outlineLevel="0" collapsed="false">
      <c r="A189" s="8" t="n">
        <v>32</v>
      </c>
      <c r="B189" s="9" t="s">
        <v>173</v>
      </c>
      <c r="C189" s="8"/>
      <c r="D189" s="8" t="s">
        <v>175</v>
      </c>
      <c r="E189" s="8" t="s">
        <v>175</v>
      </c>
      <c r="F189" s="8"/>
      <c r="G189" s="8" t="n">
        <v>5450</v>
      </c>
      <c r="H189" s="12"/>
      <c r="I189" s="15" t="n">
        <f aca="false">J189/135%</f>
        <v>0</v>
      </c>
      <c r="J189" s="15" t="n">
        <f aca="false">M189/2/118%</f>
        <v>0</v>
      </c>
      <c r="K189" s="12"/>
      <c r="L189" s="12"/>
      <c r="M189" s="8"/>
      <c r="N189" s="8"/>
      <c r="O189" s="15"/>
      <c r="P189" s="15"/>
      <c r="Q189" s="15"/>
      <c r="R189" s="15"/>
      <c r="S189" s="12"/>
    </row>
    <row r="190" customFormat="false" ht="15" hidden="false" customHeight="true" outlineLevel="0" collapsed="false">
      <c r="A190" s="8" t="n">
        <v>33</v>
      </c>
      <c r="B190" s="9" t="s">
        <v>174</v>
      </c>
      <c r="C190" s="8"/>
      <c r="D190" s="8" t="s">
        <v>175</v>
      </c>
      <c r="E190" s="8" t="s">
        <v>175</v>
      </c>
      <c r="F190" s="8"/>
      <c r="G190" s="8" t="n">
        <v>6960</v>
      </c>
      <c r="H190" s="12"/>
      <c r="I190" s="15" t="n">
        <f aca="false">J190/135%</f>
        <v>0</v>
      </c>
      <c r="J190" s="15" t="n">
        <f aca="false">M190/2/118%</f>
        <v>0</v>
      </c>
      <c r="K190" s="12"/>
      <c r="L190" s="12"/>
      <c r="M190" s="8"/>
      <c r="N190" s="8"/>
      <c r="O190" s="15"/>
      <c r="P190" s="15"/>
      <c r="Q190" s="15"/>
      <c r="R190" s="15"/>
      <c r="S190" s="12"/>
    </row>
    <row r="191" customFormat="false" ht="15" hidden="false" customHeight="true" outlineLevel="0" collapsed="false">
      <c r="A191" s="8"/>
      <c r="B191" s="9"/>
      <c r="C191" s="8"/>
      <c r="D191" s="8"/>
      <c r="E191" s="8"/>
      <c r="F191" s="8"/>
      <c r="G191" s="8"/>
      <c r="H191" s="12"/>
      <c r="I191" s="12"/>
      <c r="J191" s="12"/>
      <c r="K191" s="12"/>
      <c r="L191" s="12"/>
      <c r="M191" s="8"/>
      <c r="N191" s="8"/>
      <c r="O191" s="15"/>
      <c r="P191" s="15"/>
      <c r="Q191" s="15"/>
      <c r="R191" s="15"/>
      <c r="S191" s="12"/>
    </row>
    <row r="192" customFormat="false" ht="40.25" hidden="false" customHeight="false" outlineLevel="0" collapsed="false">
      <c r="A192" s="13" t="s">
        <v>0</v>
      </c>
      <c r="B192" s="13" t="s">
        <v>1</v>
      </c>
      <c r="C192" s="14" t="s">
        <v>98</v>
      </c>
      <c r="D192" s="13" t="s">
        <v>3</v>
      </c>
      <c r="E192" s="13" t="s">
        <v>4</v>
      </c>
      <c r="F192" s="13"/>
      <c r="G192" s="14" t="s">
        <v>6</v>
      </c>
      <c r="H192" s="14" t="s">
        <v>11</v>
      </c>
      <c r="I192" s="14"/>
      <c r="J192" s="14"/>
      <c r="K192" s="14" t="s">
        <v>10</v>
      </c>
      <c r="L192" s="14" t="s">
        <v>10</v>
      </c>
      <c r="M192" s="14" t="s">
        <v>100</v>
      </c>
      <c r="N192" s="13" t="s">
        <v>13</v>
      </c>
      <c r="O192" s="14" t="s">
        <v>14</v>
      </c>
      <c r="P192" s="14" t="s">
        <v>14</v>
      </c>
      <c r="Q192" s="14" t="s">
        <v>14</v>
      </c>
      <c r="R192" s="14" t="s">
        <v>14</v>
      </c>
      <c r="S192" s="12"/>
    </row>
    <row r="193" customFormat="false" ht="14.25" hidden="false" customHeight="true" outlineLevel="0" collapsed="false">
      <c r="A193" s="8" t="n">
        <v>1</v>
      </c>
      <c r="B193" s="12" t="s">
        <v>176</v>
      </c>
      <c r="C193" s="8"/>
      <c r="D193" s="8" t="s">
        <v>177</v>
      </c>
      <c r="E193" s="8" t="s">
        <v>178</v>
      </c>
      <c r="F193" s="8"/>
      <c r="G193" s="8"/>
      <c r="H193" s="12"/>
      <c r="I193" s="12"/>
      <c r="J193" s="12"/>
      <c r="K193" s="12"/>
      <c r="L193" s="12"/>
      <c r="M193" s="12"/>
      <c r="N193" s="12"/>
      <c r="O193" s="16"/>
      <c r="P193" s="16"/>
      <c r="Q193" s="16"/>
      <c r="R193" s="16"/>
      <c r="S193" s="12"/>
    </row>
    <row r="194" customFormat="false" ht="14.25" hidden="false" customHeight="true" outlineLevel="0" collapsed="false">
      <c r="A194" s="8" t="n">
        <v>2</v>
      </c>
      <c r="B194" s="12" t="s">
        <v>179</v>
      </c>
      <c r="C194" s="8"/>
      <c r="D194" s="8" t="s">
        <v>177</v>
      </c>
      <c r="E194" s="8" t="s">
        <v>178</v>
      </c>
      <c r="F194" s="8"/>
      <c r="G194" s="8"/>
      <c r="H194" s="12"/>
      <c r="I194" s="12"/>
      <c r="J194" s="12"/>
      <c r="K194" s="12"/>
      <c r="L194" s="12"/>
      <c r="M194" s="12"/>
      <c r="N194" s="12"/>
      <c r="O194" s="16"/>
      <c r="P194" s="16"/>
      <c r="Q194" s="16"/>
      <c r="R194" s="16"/>
      <c r="S194" s="12"/>
    </row>
    <row r="195" customFormat="false" ht="14.25" hidden="false" customHeight="true" outlineLevel="0" collapsed="false">
      <c r="A195" s="8" t="n">
        <v>3</v>
      </c>
      <c r="B195" s="12" t="s">
        <v>180</v>
      </c>
      <c r="C195" s="8"/>
      <c r="D195" s="8" t="s">
        <v>177</v>
      </c>
      <c r="E195" s="8" t="s">
        <v>178</v>
      </c>
      <c r="F195" s="8"/>
      <c r="G195" s="8"/>
      <c r="H195" s="12"/>
      <c r="I195" s="12"/>
      <c r="J195" s="12"/>
      <c r="K195" s="12"/>
      <c r="L195" s="12"/>
      <c r="M195" s="12"/>
      <c r="N195" s="12"/>
      <c r="O195" s="16"/>
      <c r="P195" s="16"/>
      <c r="Q195" s="16"/>
      <c r="R195" s="16"/>
      <c r="S195" s="12"/>
    </row>
    <row r="196" customFormat="false" ht="14.25" hidden="false" customHeight="true" outlineLevel="0" collapsed="false">
      <c r="A196" s="8" t="n">
        <v>4</v>
      </c>
      <c r="B196" s="12" t="s">
        <v>181</v>
      </c>
      <c r="C196" s="8"/>
      <c r="D196" s="8" t="s">
        <v>177</v>
      </c>
      <c r="E196" s="8" t="s">
        <v>178</v>
      </c>
      <c r="F196" s="8"/>
      <c r="G196" s="8"/>
      <c r="H196" s="12"/>
      <c r="I196" s="12"/>
      <c r="J196" s="12"/>
      <c r="K196" s="12"/>
      <c r="L196" s="12"/>
      <c r="M196" s="12"/>
      <c r="N196" s="12"/>
      <c r="O196" s="16"/>
      <c r="P196" s="16"/>
      <c r="Q196" s="16"/>
      <c r="R196" s="16"/>
      <c r="S196" s="12"/>
    </row>
    <row r="197" customFormat="false" ht="14.25" hidden="false" customHeight="true" outlineLevel="0" collapsed="false">
      <c r="A197" s="8" t="n">
        <v>5</v>
      </c>
      <c r="B197" s="12" t="s">
        <v>182</v>
      </c>
      <c r="C197" s="8"/>
      <c r="D197" s="8" t="s">
        <v>177</v>
      </c>
      <c r="E197" s="8" t="s">
        <v>178</v>
      </c>
      <c r="F197" s="8"/>
      <c r="G197" s="8"/>
      <c r="H197" s="12"/>
      <c r="I197" s="12"/>
      <c r="J197" s="12"/>
      <c r="K197" s="12"/>
      <c r="L197" s="12"/>
      <c r="M197" s="12"/>
      <c r="N197" s="12"/>
      <c r="O197" s="16"/>
      <c r="P197" s="16"/>
      <c r="Q197" s="16"/>
      <c r="R197" s="16"/>
      <c r="S197" s="12"/>
    </row>
    <row r="198" customFormat="false" ht="14.25" hidden="false" customHeight="true" outlineLevel="0" collapsed="false">
      <c r="A198" s="8" t="n">
        <v>6</v>
      </c>
      <c r="B198" s="12" t="s">
        <v>183</v>
      </c>
      <c r="C198" s="8"/>
      <c r="D198" s="8" t="s">
        <v>177</v>
      </c>
      <c r="E198" s="8" t="s">
        <v>178</v>
      </c>
      <c r="F198" s="8"/>
      <c r="G198" s="8"/>
      <c r="H198" s="12"/>
      <c r="I198" s="12"/>
      <c r="J198" s="12"/>
      <c r="K198" s="12"/>
      <c r="L198" s="12"/>
      <c r="M198" s="12"/>
      <c r="N198" s="12"/>
      <c r="O198" s="16"/>
      <c r="P198" s="16"/>
      <c r="Q198" s="16"/>
      <c r="R198" s="16"/>
      <c r="S198" s="12"/>
    </row>
    <row r="199" customFormat="false" ht="14.25" hidden="false" customHeight="true" outlineLevel="0" collapsed="false">
      <c r="A199" s="8" t="n">
        <v>7</v>
      </c>
      <c r="B199" s="12" t="s">
        <v>184</v>
      </c>
      <c r="C199" s="8"/>
      <c r="D199" s="8" t="s">
        <v>177</v>
      </c>
      <c r="E199" s="8" t="s">
        <v>178</v>
      </c>
      <c r="F199" s="8"/>
      <c r="G199" s="8"/>
      <c r="H199" s="12"/>
      <c r="I199" s="12"/>
      <c r="J199" s="12"/>
      <c r="K199" s="12"/>
      <c r="L199" s="12"/>
      <c r="M199" s="12"/>
      <c r="N199" s="12"/>
      <c r="O199" s="16"/>
      <c r="P199" s="16"/>
      <c r="Q199" s="16"/>
      <c r="R199" s="16"/>
      <c r="S199" s="12"/>
    </row>
    <row r="200" customFormat="false" ht="14.25" hidden="false" customHeight="true" outlineLevel="0" collapsed="false">
      <c r="A200" s="8" t="n">
        <v>8</v>
      </c>
      <c r="B200" s="12" t="s">
        <v>185</v>
      </c>
      <c r="C200" s="8"/>
      <c r="D200" s="8" t="s">
        <v>186</v>
      </c>
      <c r="E200" s="8" t="s">
        <v>186</v>
      </c>
      <c r="F200" s="8"/>
      <c r="G200" s="8"/>
      <c r="H200" s="12"/>
      <c r="I200" s="12"/>
      <c r="J200" s="12"/>
      <c r="K200" s="12"/>
      <c r="L200" s="12"/>
      <c r="M200" s="12"/>
      <c r="N200" s="12"/>
      <c r="O200" s="16"/>
      <c r="P200" s="16"/>
      <c r="Q200" s="16"/>
      <c r="R200" s="16"/>
      <c r="S200" s="12"/>
    </row>
    <row r="201" customFormat="false" ht="14.25" hidden="false" customHeight="true" outlineLevel="0" collapsed="false">
      <c r="A201" s="8" t="n">
        <v>9</v>
      </c>
      <c r="B201" s="12" t="s">
        <v>187</v>
      </c>
      <c r="C201" s="8"/>
      <c r="D201" s="8" t="s">
        <v>186</v>
      </c>
      <c r="E201" s="8" t="s">
        <v>186</v>
      </c>
      <c r="F201" s="8"/>
      <c r="G201" s="8"/>
      <c r="H201" s="12"/>
      <c r="I201" s="12"/>
      <c r="J201" s="12"/>
      <c r="K201" s="12"/>
      <c r="L201" s="12"/>
      <c r="M201" s="12"/>
      <c r="N201" s="12"/>
      <c r="O201" s="16"/>
      <c r="P201" s="16"/>
      <c r="Q201" s="16"/>
      <c r="R201" s="16"/>
      <c r="S201" s="12"/>
    </row>
    <row r="202" customFormat="false" ht="14.25" hidden="false" customHeight="true" outlineLevel="0" collapsed="false">
      <c r="A202" s="8" t="n">
        <v>10</v>
      </c>
      <c r="B202" s="12" t="s">
        <v>188</v>
      </c>
      <c r="C202" s="8"/>
      <c r="D202" s="8" t="s">
        <v>186</v>
      </c>
      <c r="E202" s="8" t="s">
        <v>186</v>
      </c>
      <c r="F202" s="8"/>
      <c r="G202" s="8"/>
      <c r="H202" s="12"/>
      <c r="I202" s="12"/>
      <c r="J202" s="12"/>
      <c r="K202" s="12"/>
      <c r="L202" s="12"/>
      <c r="M202" s="12"/>
      <c r="N202" s="12"/>
      <c r="O202" s="16"/>
      <c r="P202" s="16"/>
      <c r="Q202" s="16"/>
      <c r="R202" s="16"/>
      <c r="S202" s="12"/>
    </row>
    <row r="203" customFormat="false" ht="14.25" hidden="false" customHeight="true" outlineLevel="0" collapsed="false">
      <c r="A203" s="8" t="n">
        <v>11</v>
      </c>
      <c r="B203" s="12" t="s">
        <v>189</v>
      </c>
      <c r="C203" s="8"/>
      <c r="D203" s="8" t="s">
        <v>186</v>
      </c>
      <c r="E203" s="8" t="s">
        <v>186</v>
      </c>
      <c r="F203" s="8"/>
      <c r="G203" s="8"/>
      <c r="H203" s="12"/>
      <c r="I203" s="12"/>
      <c r="J203" s="12"/>
      <c r="K203" s="12"/>
      <c r="L203" s="12"/>
      <c r="M203" s="12"/>
      <c r="N203" s="12"/>
      <c r="O203" s="16"/>
      <c r="P203" s="16"/>
      <c r="Q203" s="16"/>
      <c r="R203" s="16"/>
      <c r="S203" s="12"/>
    </row>
    <row r="204" customFormat="false" ht="14.25" hidden="false" customHeight="true" outlineLevel="0" collapsed="false">
      <c r="A204" s="8" t="n">
        <v>12</v>
      </c>
      <c r="B204" s="12" t="s">
        <v>190</v>
      </c>
      <c r="C204" s="8"/>
      <c r="D204" s="8" t="s">
        <v>186</v>
      </c>
      <c r="E204" s="8" t="s">
        <v>186</v>
      </c>
      <c r="F204" s="8"/>
      <c r="G204" s="8"/>
      <c r="H204" s="12"/>
      <c r="I204" s="12"/>
      <c r="J204" s="12"/>
      <c r="K204" s="12"/>
      <c r="L204" s="12"/>
      <c r="M204" s="12"/>
      <c r="N204" s="12"/>
      <c r="O204" s="16"/>
      <c r="P204" s="16"/>
      <c r="Q204" s="16"/>
      <c r="R204" s="16"/>
      <c r="S204" s="12"/>
    </row>
    <row r="205" customFormat="false" ht="14.25" hidden="false" customHeight="true" outlineLevel="0" collapsed="false">
      <c r="A205" s="8" t="n">
        <v>13</v>
      </c>
      <c r="B205" s="12" t="s">
        <v>191</v>
      </c>
      <c r="C205" s="8"/>
      <c r="D205" s="8" t="s">
        <v>186</v>
      </c>
      <c r="E205" s="8" t="s">
        <v>186</v>
      </c>
      <c r="F205" s="8"/>
      <c r="G205" s="8"/>
      <c r="H205" s="12"/>
      <c r="I205" s="12"/>
      <c r="J205" s="12"/>
      <c r="K205" s="12"/>
      <c r="L205" s="12"/>
      <c r="M205" s="12"/>
      <c r="N205" s="12"/>
      <c r="O205" s="16"/>
      <c r="P205" s="16"/>
      <c r="Q205" s="16"/>
      <c r="R205" s="16"/>
      <c r="S205" s="12"/>
    </row>
    <row r="206" customFormat="false" ht="14.25" hidden="false" customHeight="true" outlineLevel="0" collapsed="false">
      <c r="A206" s="8" t="n">
        <v>14</v>
      </c>
      <c r="B206" s="12" t="s">
        <v>192</v>
      </c>
      <c r="C206" s="8"/>
      <c r="D206" s="8" t="s">
        <v>186</v>
      </c>
      <c r="E206" s="8" t="s">
        <v>186</v>
      </c>
      <c r="F206" s="8"/>
      <c r="G206" s="8"/>
      <c r="H206" s="12"/>
      <c r="I206" s="12"/>
      <c r="J206" s="12"/>
      <c r="K206" s="12"/>
      <c r="L206" s="12"/>
      <c r="M206" s="12"/>
      <c r="N206" s="12"/>
      <c r="O206" s="16"/>
      <c r="P206" s="16"/>
      <c r="Q206" s="16"/>
      <c r="R206" s="16"/>
      <c r="S206" s="12"/>
    </row>
    <row r="207" customFormat="false" ht="14.25" hidden="false" customHeight="true" outlineLevel="0" collapsed="false">
      <c r="A207" s="8" t="n">
        <v>15</v>
      </c>
      <c r="B207" s="12" t="s">
        <v>193</v>
      </c>
      <c r="C207" s="8"/>
      <c r="D207" s="8" t="s">
        <v>194</v>
      </c>
      <c r="E207" s="8" t="s">
        <v>194</v>
      </c>
      <c r="F207" s="8"/>
      <c r="G207" s="8"/>
      <c r="H207" s="12"/>
      <c r="I207" s="12"/>
      <c r="J207" s="12"/>
      <c r="K207" s="12"/>
      <c r="L207" s="12"/>
      <c r="M207" s="12"/>
      <c r="N207" s="12"/>
      <c r="O207" s="16"/>
      <c r="P207" s="16"/>
      <c r="Q207" s="16"/>
      <c r="R207" s="16"/>
      <c r="S207" s="12"/>
    </row>
    <row r="208" customFormat="false" ht="14.25" hidden="false" customHeight="true" outlineLevel="0" collapsed="false">
      <c r="A208" s="8" t="n">
        <v>16</v>
      </c>
      <c r="B208" s="12" t="s">
        <v>195</v>
      </c>
      <c r="C208" s="8"/>
      <c r="D208" s="8" t="s">
        <v>194</v>
      </c>
      <c r="E208" s="8" t="s">
        <v>194</v>
      </c>
      <c r="F208" s="8"/>
      <c r="G208" s="8"/>
      <c r="H208" s="12"/>
      <c r="I208" s="12"/>
      <c r="J208" s="12"/>
      <c r="K208" s="12"/>
      <c r="L208" s="12"/>
      <c r="M208" s="12"/>
      <c r="N208" s="12"/>
      <c r="O208" s="16"/>
      <c r="P208" s="16"/>
      <c r="Q208" s="16"/>
      <c r="R208" s="16"/>
      <c r="S208" s="12"/>
    </row>
    <row r="209" customFormat="false" ht="14.25" hidden="false" customHeight="true" outlineLevel="0" collapsed="false">
      <c r="A209" s="8" t="n">
        <v>17</v>
      </c>
      <c r="B209" s="12" t="s">
        <v>196</v>
      </c>
      <c r="C209" s="8"/>
      <c r="D209" s="8" t="s">
        <v>194</v>
      </c>
      <c r="E209" s="8" t="s">
        <v>194</v>
      </c>
      <c r="F209" s="8"/>
      <c r="G209" s="8"/>
      <c r="H209" s="12"/>
      <c r="I209" s="12"/>
      <c r="J209" s="12"/>
      <c r="K209" s="12"/>
      <c r="L209" s="12"/>
      <c r="M209" s="12"/>
      <c r="N209" s="12"/>
      <c r="O209" s="16"/>
      <c r="P209" s="16"/>
      <c r="Q209" s="16"/>
      <c r="R209" s="16"/>
      <c r="S209" s="12"/>
    </row>
    <row r="210" customFormat="false" ht="14.25" hidden="false" customHeight="true" outlineLevel="0" collapsed="false">
      <c r="A210" s="8" t="n">
        <v>18</v>
      </c>
      <c r="B210" s="12" t="s">
        <v>197</v>
      </c>
      <c r="C210" s="8"/>
      <c r="D210" s="8" t="s">
        <v>194</v>
      </c>
      <c r="E210" s="8" t="s">
        <v>194</v>
      </c>
      <c r="F210" s="8"/>
      <c r="G210" s="8"/>
      <c r="H210" s="12"/>
      <c r="I210" s="12"/>
      <c r="J210" s="12"/>
      <c r="K210" s="12"/>
      <c r="L210" s="12"/>
      <c r="M210" s="12"/>
      <c r="N210" s="12"/>
      <c r="O210" s="16"/>
      <c r="P210" s="16"/>
      <c r="Q210" s="16"/>
      <c r="R210" s="16"/>
      <c r="S210" s="12"/>
    </row>
    <row r="211" customFormat="false" ht="14.25" hidden="false" customHeight="true" outlineLevel="0" collapsed="false">
      <c r="A211" s="8" t="n">
        <v>19</v>
      </c>
      <c r="B211" s="12" t="s">
        <v>198</v>
      </c>
      <c r="C211" s="8"/>
      <c r="D211" s="8" t="s">
        <v>194</v>
      </c>
      <c r="E211" s="8" t="s">
        <v>194</v>
      </c>
      <c r="F211" s="8"/>
      <c r="G211" s="8"/>
      <c r="H211" s="12"/>
      <c r="I211" s="12"/>
      <c r="J211" s="12"/>
      <c r="K211" s="12"/>
      <c r="L211" s="12"/>
      <c r="M211" s="12"/>
      <c r="N211" s="12"/>
      <c r="O211" s="16"/>
      <c r="P211" s="16"/>
      <c r="Q211" s="16"/>
      <c r="R211" s="16"/>
      <c r="S211" s="12"/>
    </row>
    <row r="212" customFormat="false" ht="14.25" hidden="false" customHeight="true" outlineLevel="0" collapsed="false">
      <c r="A212" s="8" t="n">
        <v>20</v>
      </c>
      <c r="B212" s="12" t="s">
        <v>199</v>
      </c>
      <c r="C212" s="8"/>
      <c r="D212" s="8" t="s">
        <v>194</v>
      </c>
      <c r="E212" s="8" t="s">
        <v>194</v>
      </c>
      <c r="F212" s="8"/>
      <c r="G212" s="8"/>
      <c r="H212" s="12"/>
      <c r="I212" s="12"/>
      <c r="J212" s="12"/>
      <c r="K212" s="12"/>
      <c r="L212" s="12"/>
      <c r="M212" s="12"/>
      <c r="N212" s="12"/>
      <c r="O212" s="16"/>
      <c r="P212" s="16"/>
      <c r="Q212" s="16"/>
      <c r="R212" s="16"/>
      <c r="S212" s="12"/>
    </row>
    <row r="213" customFormat="false" ht="14.25" hidden="false" customHeight="true" outlineLevel="0" collapsed="false">
      <c r="A213" s="8" t="n">
        <v>21</v>
      </c>
      <c r="B213" s="12" t="s">
        <v>200</v>
      </c>
      <c r="C213" s="8"/>
      <c r="D213" s="8" t="s">
        <v>194</v>
      </c>
      <c r="E213" s="8" t="s">
        <v>194</v>
      </c>
      <c r="F213" s="8"/>
      <c r="G213" s="8"/>
      <c r="H213" s="12"/>
      <c r="I213" s="12"/>
      <c r="J213" s="12"/>
      <c r="K213" s="12"/>
      <c r="L213" s="12"/>
      <c r="M213" s="12"/>
      <c r="N213" s="12"/>
      <c r="O213" s="16"/>
      <c r="P213" s="16"/>
      <c r="Q213" s="16"/>
      <c r="R213" s="16"/>
      <c r="S213" s="12"/>
    </row>
    <row r="214" customFormat="false" ht="14.25" hidden="false" customHeight="true" outlineLevel="0" collapsed="false">
      <c r="A214" s="8" t="n">
        <v>22</v>
      </c>
      <c r="B214" s="12" t="s">
        <v>201</v>
      </c>
      <c r="C214" s="8"/>
      <c r="D214" s="8" t="s">
        <v>194</v>
      </c>
      <c r="E214" s="8" t="s">
        <v>194</v>
      </c>
      <c r="F214" s="8"/>
      <c r="G214" s="8"/>
      <c r="H214" s="12"/>
      <c r="I214" s="12"/>
      <c r="J214" s="12"/>
      <c r="K214" s="12"/>
      <c r="L214" s="12"/>
      <c r="M214" s="12"/>
      <c r="N214" s="12"/>
      <c r="O214" s="16"/>
      <c r="P214" s="16"/>
      <c r="Q214" s="16"/>
      <c r="R214" s="16"/>
      <c r="S214" s="12"/>
    </row>
    <row r="215" customFormat="false" ht="14.25" hidden="false" customHeight="true" outlineLevel="0" collapsed="false">
      <c r="A215" s="8" t="n">
        <v>23</v>
      </c>
      <c r="B215" s="12" t="s">
        <v>202</v>
      </c>
      <c r="C215" s="8"/>
      <c r="D215" s="8" t="s">
        <v>194</v>
      </c>
      <c r="E215" s="8" t="s">
        <v>194</v>
      </c>
      <c r="F215" s="8"/>
      <c r="G215" s="8"/>
      <c r="H215" s="12"/>
      <c r="I215" s="12"/>
      <c r="J215" s="12"/>
      <c r="K215" s="12"/>
      <c r="L215" s="12"/>
      <c r="M215" s="12"/>
      <c r="N215" s="12"/>
      <c r="O215" s="16"/>
      <c r="P215" s="16"/>
      <c r="Q215" s="16"/>
      <c r="R215" s="16"/>
      <c r="S215" s="12"/>
    </row>
    <row r="216" customFormat="false" ht="15" hidden="false" customHeight="true" outlineLevel="0" collapsed="false">
      <c r="A216" s="8" t="n">
        <v>24</v>
      </c>
      <c r="B216" s="12" t="s">
        <v>203</v>
      </c>
      <c r="C216" s="8"/>
      <c r="D216" s="8" t="s">
        <v>194</v>
      </c>
      <c r="E216" s="8" t="s">
        <v>194</v>
      </c>
      <c r="F216" s="8"/>
      <c r="G216" s="8"/>
      <c r="H216" s="12"/>
      <c r="I216" s="12"/>
      <c r="J216" s="12"/>
      <c r="K216" s="12"/>
      <c r="L216" s="12"/>
      <c r="M216" s="12"/>
      <c r="N216" s="12"/>
      <c r="O216" s="16"/>
      <c r="P216" s="16"/>
      <c r="Q216" s="16"/>
      <c r="R216" s="16"/>
      <c r="S216" s="12"/>
    </row>
    <row r="217" customFormat="false" ht="40.25" hidden="false" customHeight="false" outlineLevel="0" collapsed="false">
      <c r="A217" s="13" t="s">
        <v>0</v>
      </c>
      <c r="B217" s="13" t="s">
        <v>1</v>
      </c>
      <c r="C217" s="14" t="s">
        <v>98</v>
      </c>
      <c r="D217" s="13" t="s">
        <v>3</v>
      </c>
      <c r="E217" s="13" t="s">
        <v>4</v>
      </c>
      <c r="F217" s="13"/>
      <c r="G217" s="14" t="s">
        <v>6</v>
      </c>
      <c r="H217" s="14" t="s">
        <v>11</v>
      </c>
      <c r="I217" s="14" t="s">
        <v>8</v>
      </c>
      <c r="J217" s="14" t="s">
        <v>9</v>
      </c>
      <c r="K217" s="14" t="s">
        <v>10</v>
      </c>
      <c r="L217" s="14" t="s">
        <v>10</v>
      </c>
      <c r="M217" s="14" t="s">
        <v>100</v>
      </c>
      <c r="N217" s="13" t="s">
        <v>13</v>
      </c>
      <c r="O217" s="14" t="s">
        <v>14</v>
      </c>
      <c r="P217" s="14" t="s">
        <v>14</v>
      </c>
      <c r="Q217" s="14" t="s">
        <v>14</v>
      </c>
      <c r="R217" s="14" t="s">
        <v>14</v>
      </c>
      <c r="S217" s="12"/>
    </row>
    <row r="218" customFormat="false" ht="14.25" hidden="false" customHeight="true" outlineLevel="0" collapsed="false">
      <c r="A218" s="8" t="n">
        <v>1</v>
      </c>
      <c r="B218" s="9" t="s">
        <v>204</v>
      </c>
      <c r="C218" s="8"/>
      <c r="D218" s="8" t="s">
        <v>205</v>
      </c>
      <c r="E218" s="8" t="s">
        <v>205</v>
      </c>
      <c r="F218" s="8"/>
      <c r="G218" s="8"/>
      <c r="H218" s="15" t="n">
        <f aca="false">K218/135%</f>
        <v>72.1908349026993</v>
      </c>
      <c r="I218" s="12"/>
      <c r="J218" s="12"/>
      <c r="K218" s="15" t="n">
        <f aca="false">M218/2/118%</f>
        <v>97.4576271186441</v>
      </c>
      <c r="L218" s="12"/>
      <c r="M218" s="8" t="n">
        <v>230</v>
      </c>
      <c r="N218" s="8" t="n">
        <v>230</v>
      </c>
      <c r="O218" s="16"/>
      <c r="P218" s="16"/>
      <c r="Q218" s="16"/>
      <c r="R218" s="16"/>
      <c r="S218" s="12"/>
    </row>
    <row r="219" customFormat="false" ht="14.25" hidden="false" customHeight="true" outlineLevel="0" collapsed="false">
      <c r="A219" s="8" t="n">
        <v>2</v>
      </c>
      <c r="B219" s="9" t="s">
        <v>206</v>
      </c>
      <c r="C219" s="8"/>
      <c r="D219" s="8" t="s">
        <v>205</v>
      </c>
      <c r="E219" s="8" t="s">
        <v>205</v>
      </c>
      <c r="F219" s="8"/>
      <c r="G219" s="8"/>
      <c r="H219" s="15" t="n">
        <f aca="false">K219/135%</f>
        <v>25.1098556183302</v>
      </c>
      <c r="I219" s="12"/>
      <c r="J219" s="12"/>
      <c r="K219" s="15" t="n">
        <f aca="false">M219/2/118%</f>
        <v>33.8983050847458</v>
      </c>
      <c r="L219" s="12"/>
      <c r="M219" s="8" t="n">
        <v>80</v>
      </c>
      <c r="N219" s="8" t="n">
        <v>80</v>
      </c>
      <c r="O219" s="16"/>
      <c r="P219" s="16"/>
      <c r="Q219" s="16"/>
      <c r="R219" s="16"/>
      <c r="S219" s="12"/>
    </row>
    <row r="220" customFormat="false" ht="14.25" hidden="false" customHeight="true" outlineLevel="0" collapsed="false">
      <c r="A220" s="8" t="n">
        <v>3</v>
      </c>
      <c r="B220" s="9" t="s">
        <v>207</v>
      </c>
      <c r="C220" s="10"/>
      <c r="D220" s="8" t="s">
        <v>205</v>
      </c>
      <c r="E220" s="8" t="s">
        <v>205</v>
      </c>
      <c r="F220" s="8"/>
      <c r="G220" s="8"/>
      <c r="H220" s="15" t="n">
        <f aca="false">K220/135%</f>
        <v>72.1908349026993</v>
      </c>
      <c r="I220" s="12"/>
      <c r="J220" s="12"/>
      <c r="K220" s="15" t="n">
        <f aca="false">M220/2/118%</f>
        <v>97.4576271186441</v>
      </c>
      <c r="L220" s="12"/>
      <c r="M220" s="8" t="n">
        <v>230</v>
      </c>
      <c r="N220" s="8" t="n">
        <v>230</v>
      </c>
      <c r="O220" s="16"/>
      <c r="P220" s="16"/>
      <c r="Q220" s="16"/>
      <c r="R220" s="16"/>
      <c r="S220" s="12"/>
    </row>
    <row r="221" customFormat="false" ht="15" hidden="false" customHeight="true" outlineLevel="0" collapsed="false">
      <c r="A221" s="8" t="n">
        <v>4</v>
      </c>
      <c r="B221" s="9" t="s">
        <v>208</v>
      </c>
      <c r="C221" s="10"/>
      <c r="D221" s="8" t="s">
        <v>205</v>
      </c>
      <c r="E221" s="8" t="s">
        <v>205</v>
      </c>
      <c r="F221" s="8"/>
      <c r="G221" s="8"/>
      <c r="H221" s="15" t="n">
        <f aca="false">K221/135%</f>
        <v>25.1098556183302</v>
      </c>
      <c r="I221" s="12"/>
      <c r="J221" s="12"/>
      <c r="K221" s="15" t="n">
        <f aca="false">M221/2/118%</f>
        <v>33.8983050847458</v>
      </c>
      <c r="L221" s="12"/>
      <c r="M221" s="8" t="n">
        <v>80</v>
      </c>
      <c r="N221" s="8" t="n">
        <v>80</v>
      </c>
      <c r="O221" s="16"/>
      <c r="P221" s="16"/>
      <c r="Q221" s="16"/>
      <c r="R221" s="16"/>
      <c r="S221" s="12"/>
    </row>
    <row r="222" customFormat="false" ht="14.25" hidden="false" customHeight="false" outlineLevel="0" collapsed="false">
      <c r="A222" s="8"/>
      <c r="B222" s="12"/>
      <c r="C222" s="8"/>
      <c r="D222" s="8"/>
      <c r="E222" s="8"/>
      <c r="F222" s="8"/>
      <c r="G222" s="8"/>
      <c r="H222" s="12"/>
      <c r="I222" s="12"/>
      <c r="J222" s="12"/>
      <c r="K222" s="12"/>
      <c r="L222" s="12"/>
      <c r="M222" s="8"/>
      <c r="N222" s="8"/>
      <c r="O222" s="16"/>
      <c r="P222" s="16"/>
      <c r="Q222" s="16"/>
      <c r="R222" s="16"/>
      <c r="S222" s="12"/>
    </row>
    <row r="223" customFormat="false" ht="14.25" hidden="false" customHeight="true" outlineLevel="0" collapsed="false">
      <c r="A223" s="8" t="n">
        <v>1</v>
      </c>
      <c r="B223" s="12" t="s">
        <v>209</v>
      </c>
      <c r="C223" s="8" t="n">
        <v>100</v>
      </c>
      <c r="D223" s="8" t="s">
        <v>210</v>
      </c>
      <c r="E223" s="8" t="s">
        <v>210</v>
      </c>
      <c r="F223" s="8"/>
      <c r="G223" s="8"/>
      <c r="H223" s="12"/>
      <c r="I223" s="15" t="n">
        <f aca="false">J223/135%</f>
        <v>62.4607658505964</v>
      </c>
      <c r="J223" s="15" t="n">
        <f aca="false">M223/2/118%</f>
        <v>84.3220338983051</v>
      </c>
      <c r="K223" s="12"/>
      <c r="L223" s="12"/>
      <c r="M223" s="8" t="n">
        <v>199</v>
      </c>
      <c r="N223" s="8" t="n">
        <v>199</v>
      </c>
      <c r="O223" s="16"/>
      <c r="P223" s="16"/>
      <c r="Q223" s="16"/>
      <c r="R223" s="16"/>
      <c r="S223" s="12"/>
    </row>
    <row r="224" customFormat="false" ht="14.25" hidden="false" customHeight="true" outlineLevel="0" collapsed="false">
      <c r="A224" s="8" t="n">
        <v>2</v>
      </c>
      <c r="B224" s="9" t="s">
        <v>211</v>
      </c>
      <c r="C224" s="8" t="n">
        <v>100</v>
      </c>
      <c r="D224" s="8" t="s">
        <v>210</v>
      </c>
      <c r="E224" s="8" t="s">
        <v>210</v>
      </c>
      <c r="F224" s="8"/>
      <c r="G224" s="8"/>
      <c r="H224" s="12"/>
      <c r="I224" s="15" t="n">
        <f aca="false">J224/135%</f>
        <v>62.4607658505964</v>
      </c>
      <c r="J224" s="15" t="n">
        <f aca="false">M224/2/118%</f>
        <v>84.3220338983051</v>
      </c>
      <c r="K224" s="12"/>
      <c r="L224" s="12"/>
      <c r="M224" s="8" t="n">
        <v>199</v>
      </c>
      <c r="N224" s="8" t="n">
        <v>199</v>
      </c>
      <c r="O224" s="16"/>
      <c r="P224" s="16"/>
      <c r="Q224" s="16"/>
      <c r="R224" s="16"/>
      <c r="S224" s="12"/>
    </row>
    <row r="225" customFormat="false" ht="14.25" hidden="false" customHeight="true" outlineLevel="0" collapsed="false">
      <c r="A225" s="8" t="n">
        <v>3</v>
      </c>
      <c r="B225" s="9" t="s">
        <v>212</v>
      </c>
      <c r="C225" s="8" t="n">
        <v>100</v>
      </c>
      <c r="D225" s="8" t="s">
        <v>210</v>
      </c>
      <c r="E225" s="8" t="s">
        <v>210</v>
      </c>
      <c r="F225" s="8"/>
      <c r="G225" s="8"/>
      <c r="H225" s="12"/>
      <c r="I225" s="15" t="n">
        <f aca="false">J225/135%</f>
        <v>62.4607658505964</v>
      </c>
      <c r="J225" s="15" t="n">
        <f aca="false">M225/2/118%</f>
        <v>84.3220338983051</v>
      </c>
      <c r="K225" s="12"/>
      <c r="L225" s="12"/>
      <c r="M225" s="8" t="n">
        <v>199</v>
      </c>
      <c r="N225" s="8" t="n">
        <v>199</v>
      </c>
      <c r="O225" s="16"/>
      <c r="P225" s="16"/>
      <c r="Q225" s="16"/>
      <c r="R225" s="16"/>
      <c r="S225" s="12"/>
    </row>
    <row r="226" customFormat="false" ht="14.25" hidden="false" customHeight="true" outlineLevel="0" collapsed="false">
      <c r="A226" s="8" t="n">
        <v>4</v>
      </c>
      <c r="B226" s="9" t="s">
        <v>213</v>
      </c>
      <c r="C226" s="8" t="n">
        <v>100</v>
      </c>
      <c r="D226" s="8" t="s">
        <v>210</v>
      </c>
      <c r="E226" s="8" t="s">
        <v>210</v>
      </c>
      <c r="F226" s="8"/>
      <c r="G226" s="8"/>
      <c r="H226" s="12"/>
      <c r="I226" s="15" t="n">
        <f aca="false">J226/135%</f>
        <v>62.4607658505964</v>
      </c>
      <c r="J226" s="15" t="n">
        <f aca="false">M226/2/118%</f>
        <v>84.3220338983051</v>
      </c>
      <c r="K226" s="12"/>
      <c r="L226" s="12"/>
      <c r="M226" s="8" t="n">
        <v>199</v>
      </c>
      <c r="N226" s="8" t="n">
        <v>199</v>
      </c>
      <c r="O226" s="16"/>
      <c r="P226" s="16"/>
      <c r="Q226" s="16"/>
      <c r="R226" s="16"/>
      <c r="S226" s="12"/>
    </row>
    <row r="227" customFormat="false" ht="15" hidden="false" customHeight="true" outlineLevel="0" collapsed="false">
      <c r="A227" s="8" t="n">
        <v>5</v>
      </c>
      <c r="B227" s="9" t="s">
        <v>214</v>
      </c>
      <c r="C227" s="8" t="n">
        <v>100</v>
      </c>
      <c r="D227" s="8" t="s">
        <v>210</v>
      </c>
      <c r="E227" s="8" t="s">
        <v>210</v>
      </c>
      <c r="F227" s="8"/>
      <c r="G227" s="8"/>
      <c r="H227" s="12"/>
      <c r="I227" s="15" t="n">
        <f aca="false">J227/135%</f>
        <v>62.4607658505964</v>
      </c>
      <c r="J227" s="15" t="n">
        <f aca="false">M227/2/118%</f>
        <v>84.3220338983051</v>
      </c>
      <c r="K227" s="12"/>
      <c r="L227" s="12"/>
      <c r="M227" s="8" t="n">
        <v>199</v>
      </c>
      <c r="N227" s="8" t="n">
        <v>199</v>
      </c>
      <c r="O227" s="16"/>
      <c r="P227" s="16"/>
      <c r="Q227" s="16"/>
      <c r="R227" s="16"/>
      <c r="S227" s="12"/>
    </row>
    <row r="228" customFormat="false" ht="14.25" hidden="false" customHeight="false" outlineLevel="0" collapsed="false">
      <c r="A228" s="8"/>
      <c r="B228" s="12"/>
      <c r="C228" s="8"/>
      <c r="D228" s="8"/>
      <c r="E228" s="8"/>
      <c r="F228" s="8"/>
      <c r="G228" s="8"/>
      <c r="H228" s="12"/>
      <c r="I228" s="12"/>
      <c r="J228" s="12"/>
      <c r="K228" s="12"/>
      <c r="L228" s="12"/>
      <c r="M228" s="8"/>
      <c r="N228" s="8"/>
      <c r="O228" s="16"/>
      <c r="P228" s="16"/>
      <c r="Q228" s="16"/>
      <c r="R228" s="16"/>
      <c r="S228" s="12"/>
    </row>
    <row r="229" customFormat="false" ht="14.25" hidden="false" customHeight="true" outlineLevel="0" collapsed="false">
      <c r="A229" s="8" t="n">
        <v>1</v>
      </c>
      <c r="B229" s="12" t="s">
        <v>215</v>
      </c>
      <c r="C229" s="8" t="s">
        <v>216</v>
      </c>
      <c r="D229" s="8" t="s">
        <v>217</v>
      </c>
      <c r="E229" s="8" t="s">
        <v>218</v>
      </c>
      <c r="F229" s="8"/>
      <c r="G229" s="10" t="n">
        <v>4500</v>
      </c>
      <c r="H229" s="12"/>
      <c r="I229" s="15" t="n">
        <f aca="false">J229/135%</f>
        <v>94.1619585687382</v>
      </c>
      <c r="J229" s="15" t="n">
        <f aca="false">M229/2/118%</f>
        <v>127.118644067797</v>
      </c>
      <c r="K229" s="12"/>
      <c r="L229" s="12"/>
      <c r="M229" s="8" t="n">
        <v>300</v>
      </c>
      <c r="N229" s="8" t="n">
        <v>300</v>
      </c>
      <c r="O229" s="16"/>
      <c r="P229" s="16"/>
      <c r="Q229" s="16"/>
      <c r="R229" s="16"/>
      <c r="S229" s="12"/>
    </row>
    <row r="230" customFormat="false" ht="14.25" hidden="false" customHeight="true" outlineLevel="0" collapsed="false">
      <c r="A230" s="8" t="n">
        <v>2</v>
      </c>
      <c r="B230" s="12" t="s">
        <v>219</v>
      </c>
      <c r="C230" s="8" t="s">
        <v>216</v>
      </c>
      <c r="D230" s="8" t="s">
        <v>218</v>
      </c>
      <c r="E230" s="8" t="s">
        <v>218</v>
      </c>
      <c r="F230" s="8"/>
      <c r="G230" s="10" t="n">
        <v>5200</v>
      </c>
      <c r="H230" s="12"/>
      <c r="I230" s="15" t="n">
        <f aca="false">J230/135%</f>
        <v>94.1619585687382</v>
      </c>
      <c r="J230" s="15" t="n">
        <f aca="false">M230/2/118%</f>
        <v>127.118644067797</v>
      </c>
      <c r="K230" s="12"/>
      <c r="L230" s="12"/>
      <c r="M230" s="8" t="n">
        <v>300</v>
      </c>
      <c r="N230" s="8" t="n">
        <v>300</v>
      </c>
      <c r="O230" s="16"/>
      <c r="P230" s="16"/>
      <c r="Q230" s="16"/>
      <c r="R230" s="16"/>
      <c r="S230" s="12"/>
    </row>
    <row r="231" customFormat="false" ht="14.25" hidden="false" customHeight="true" outlineLevel="0" collapsed="false">
      <c r="A231" s="8" t="n">
        <v>3</v>
      </c>
      <c r="B231" s="12" t="s">
        <v>148</v>
      </c>
      <c r="C231" s="8" t="s">
        <v>216</v>
      </c>
      <c r="D231" s="8" t="s">
        <v>218</v>
      </c>
      <c r="E231" s="8" t="s">
        <v>218</v>
      </c>
      <c r="F231" s="8"/>
      <c r="G231" s="10" t="n">
        <v>6500</v>
      </c>
      <c r="H231" s="12"/>
      <c r="I231" s="15" t="n">
        <f aca="false">J231/135%</f>
        <v>94.1619585687382</v>
      </c>
      <c r="J231" s="15" t="n">
        <f aca="false">M231/2/118%</f>
        <v>127.118644067797</v>
      </c>
      <c r="K231" s="12"/>
      <c r="L231" s="12"/>
      <c r="M231" s="8" t="n">
        <v>300</v>
      </c>
      <c r="N231" s="8" t="n">
        <v>300</v>
      </c>
      <c r="O231" s="16"/>
      <c r="P231" s="16"/>
      <c r="Q231" s="16"/>
      <c r="R231" s="16"/>
      <c r="S231" s="12"/>
    </row>
    <row r="232" customFormat="false" ht="14.25" hidden="false" customHeight="true" outlineLevel="0" collapsed="false">
      <c r="A232" s="8" t="n">
        <v>4</v>
      </c>
      <c r="B232" s="12" t="s">
        <v>220</v>
      </c>
      <c r="C232" s="8" t="s">
        <v>216</v>
      </c>
      <c r="D232" s="8" t="s">
        <v>218</v>
      </c>
      <c r="E232" s="8" t="s">
        <v>218</v>
      </c>
      <c r="F232" s="8"/>
      <c r="G232" s="10" t="n">
        <v>12000</v>
      </c>
      <c r="H232" s="12"/>
      <c r="I232" s="15" t="n">
        <f aca="false">J232/135%</f>
        <v>94.1619585687382</v>
      </c>
      <c r="J232" s="15" t="n">
        <f aca="false">M232/2/118%</f>
        <v>127.118644067797</v>
      </c>
      <c r="K232" s="12"/>
      <c r="L232" s="12"/>
      <c r="M232" s="8" t="n">
        <v>300</v>
      </c>
      <c r="N232" s="8" t="n">
        <v>300</v>
      </c>
      <c r="O232" s="16"/>
      <c r="P232" s="16"/>
      <c r="Q232" s="16"/>
      <c r="R232" s="16"/>
      <c r="S232" s="12"/>
    </row>
    <row r="233" customFormat="false" ht="14.25" hidden="false" customHeight="true" outlineLevel="0" collapsed="false">
      <c r="A233" s="8" t="n">
        <v>5</v>
      </c>
      <c r="B233" s="12" t="s">
        <v>119</v>
      </c>
      <c r="C233" s="8" t="s">
        <v>216</v>
      </c>
      <c r="D233" s="8" t="s">
        <v>218</v>
      </c>
      <c r="E233" s="8" t="s">
        <v>218</v>
      </c>
      <c r="F233" s="8"/>
      <c r="G233" s="10" t="n">
        <v>3950</v>
      </c>
      <c r="H233" s="12"/>
      <c r="I233" s="15" t="n">
        <f aca="false">J233/135%</f>
        <v>94.1619585687382</v>
      </c>
      <c r="J233" s="15" t="n">
        <f aca="false">M233/2/118%</f>
        <v>127.118644067797</v>
      </c>
      <c r="K233" s="12"/>
      <c r="L233" s="12"/>
      <c r="M233" s="8" t="n">
        <v>300</v>
      </c>
      <c r="N233" s="8" t="n">
        <v>300</v>
      </c>
      <c r="O233" s="16"/>
      <c r="P233" s="16"/>
      <c r="Q233" s="16"/>
      <c r="R233" s="16"/>
      <c r="S233" s="12"/>
    </row>
    <row r="234" customFormat="false" ht="14.25" hidden="false" customHeight="true" outlineLevel="0" collapsed="false">
      <c r="A234" s="8" t="n">
        <v>6</v>
      </c>
      <c r="B234" s="12" t="s">
        <v>221</v>
      </c>
      <c r="C234" s="8" t="s">
        <v>216</v>
      </c>
      <c r="D234" s="8" t="s">
        <v>218</v>
      </c>
      <c r="E234" s="8" t="s">
        <v>218</v>
      </c>
      <c r="F234" s="8"/>
      <c r="G234" s="10" t="n">
        <v>8000</v>
      </c>
      <c r="H234" s="12"/>
      <c r="I234" s="15" t="n">
        <f aca="false">J234/135%</f>
        <v>94.1619585687382</v>
      </c>
      <c r="J234" s="15" t="n">
        <f aca="false">M234/2/118%</f>
        <v>127.118644067797</v>
      </c>
      <c r="K234" s="12"/>
      <c r="L234" s="12"/>
      <c r="M234" s="8" t="n">
        <v>300</v>
      </c>
      <c r="N234" s="8" t="n">
        <v>300</v>
      </c>
      <c r="O234" s="16"/>
      <c r="P234" s="16"/>
      <c r="Q234" s="16"/>
      <c r="R234" s="16"/>
      <c r="S234" s="12"/>
    </row>
    <row r="235" customFormat="false" ht="14.25" hidden="false" customHeight="true" outlineLevel="0" collapsed="false">
      <c r="A235" s="8" t="n">
        <v>7</v>
      </c>
      <c r="B235" s="12" t="s">
        <v>222</v>
      </c>
      <c r="C235" s="8" t="s">
        <v>216</v>
      </c>
      <c r="D235" s="8" t="s">
        <v>218</v>
      </c>
      <c r="E235" s="8" t="s">
        <v>218</v>
      </c>
      <c r="F235" s="8"/>
      <c r="G235" s="10" t="n">
        <v>16240</v>
      </c>
      <c r="H235" s="12"/>
      <c r="I235" s="15" t="n">
        <f aca="false">J235/135%</f>
        <v>94.1619585687382</v>
      </c>
      <c r="J235" s="15" t="n">
        <f aca="false">M235/2/118%</f>
        <v>127.118644067797</v>
      </c>
      <c r="K235" s="12"/>
      <c r="L235" s="12"/>
      <c r="M235" s="8" t="n">
        <v>300</v>
      </c>
      <c r="N235" s="8" t="n">
        <v>300</v>
      </c>
      <c r="O235" s="16"/>
      <c r="P235" s="16"/>
      <c r="Q235" s="16"/>
      <c r="R235" s="16"/>
      <c r="S235" s="12"/>
    </row>
    <row r="236" customFormat="false" ht="14.25" hidden="false" customHeight="true" outlineLevel="0" collapsed="false">
      <c r="A236" s="8" t="n">
        <v>8</v>
      </c>
      <c r="B236" s="12" t="s">
        <v>223</v>
      </c>
      <c r="C236" s="8" t="s">
        <v>216</v>
      </c>
      <c r="D236" s="8" t="s">
        <v>218</v>
      </c>
      <c r="E236" s="8" t="s">
        <v>218</v>
      </c>
      <c r="F236" s="8"/>
      <c r="G236" s="10" t="n">
        <v>8500</v>
      </c>
      <c r="H236" s="12"/>
      <c r="I236" s="15" t="n">
        <f aca="false">J236/135%</f>
        <v>94.1619585687382</v>
      </c>
      <c r="J236" s="15" t="n">
        <f aca="false">M236/2/118%</f>
        <v>127.118644067797</v>
      </c>
      <c r="K236" s="12"/>
      <c r="L236" s="12"/>
      <c r="M236" s="8" t="n">
        <v>300</v>
      </c>
      <c r="N236" s="8" t="n">
        <v>300</v>
      </c>
      <c r="O236" s="16"/>
      <c r="P236" s="16"/>
      <c r="Q236" s="16"/>
      <c r="R236" s="16"/>
      <c r="S236" s="12"/>
    </row>
    <row r="237" customFormat="false" ht="14.25" hidden="false" customHeight="true" outlineLevel="0" collapsed="false">
      <c r="A237" s="8" t="n">
        <v>9</v>
      </c>
      <c r="B237" s="12" t="s">
        <v>149</v>
      </c>
      <c r="C237" s="8" t="s">
        <v>216</v>
      </c>
      <c r="D237" s="8" t="s">
        <v>218</v>
      </c>
      <c r="E237" s="8" t="s">
        <v>218</v>
      </c>
      <c r="F237" s="8"/>
      <c r="G237" s="10" t="n">
        <v>5040</v>
      </c>
      <c r="H237" s="12"/>
      <c r="I237" s="15" t="n">
        <f aca="false">J237/135%</f>
        <v>94.1619585687382</v>
      </c>
      <c r="J237" s="15" t="n">
        <f aca="false">M237/2/118%</f>
        <v>127.118644067797</v>
      </c>
      <c r="K237" s="12"/>
      <c r="L237" s="12"/>
      <c r="M237" s="8" t="n">
        <v>300</v>
      </c>
      <c r="N237" s="8" t="n">
        <v>300</v>
      </c>
      <c r="O237" s="16"/>
      <c r="P237" s="16"/>
      <c r="Q237" s="16"/>
      <c r="R237" s="16"/>
      <c r="S237" s="12"/>
    </row>
    <row r="238" customFormat="false" ht="15" hidden="false" customHeight="true" outlineLevel="0" collapsed="false">
      <c r="A238" s="8" t="n">
        <v>10</v>
      </c>
      <c r="B238" s="12" t="s">
        <v>122</v>
      </c>
      <c r="C238" s="8" t="s">
        <v>216</v>
      </c>
      <c r="D238" s="8" t="s">
        <v>218</v>
      </c>
      <c r="E238" s="8" t="s">
        <v>218</v>
      </c>
      <c r="F238" s="8"/>
      <c r="G238" s="10" t="n">
        <v>4850</v>
      </c>
      <c r="H238" s="12"/>
      <c r="I238" s="15" t="n">
        <f aca="false">J238/135%</f>
        <v>94.1619585687382</v>
      </c>
      <c r="J238" s="15" t="n">
        <f aca="false">M238/2/118%</f>
        <v>127.118644067797</v>
      </c>
      <c r="K238" s="12"/>
      <c r="L238" s="12"/>
      <c r="M238" s="8" t="n">
        <v>300</v>
      </c>
      <c r="N238" s="8" t="n">
        <v>300</v>
      </c>
      <c r="O238" s="16"/>
      <c r="P238" s="16"/>
      <c r="Q238" s="16"/>
      <c r="R238" s="16"/>
      <c r="S238" s="12"/>
    </row>
    <row r="239" customFormat="false" ht="14.25" hidden="false" customHeight="false" outlineLevel="0" collapsed="false">
      <c r="A239" s="8"/>
      <c r="B239" s="12"/>
      <c r="C239" s="8"/>
      <c r="D239" s="8"/>
      <c r="E239" s="8"/>
      <c r="F239" s="8"/>
      <c r="G239" s="8"/>
      <c r="H239" s="12"/>
      <c r="I239" s="12"/>
      <c r="J239" s="12"/>
      <c r="K239" s="12"/>
      <c r="L239" s="12"/>
      <c r="M239" s="8"/>
      <c r="N239" s="8"/>
      <c r="O239" s="16"/>
      <c r="P239" s="16"/>
      <c r="Q239" s="16"/>
      <c r="R239" s="16"/>
      <c r="S239" s="12"/>
    </row>
    <row r="240" customFormat="false" ht="14.25" hidden="false" customHeight="true" outlineLevel="0" collapsed="false">
      <c r="A240" s="8" t="n">
        <v>1</v>
      </c>
      <c r="B240" s="12" t="s">
        <v>224</v>
      </c>
      <c r="C240" s="8" t="s">
        <v>225</v>
      </c>
      <c r="D240" s="8" t="s">
        <v>226</v>
      </c>
      <c r="E240" s="8" t="s">
        <v>226</v>
      </c>
      <c r="F240" s="8"/>
      <c r="G240" s="8"/>
      <c r="H240" s="20"/>
      <c r="I240" s="20"/>
      <c r="J240" s="20"/>
      <c r="K240" s="12"/>
      <c r="L240" s="12"/>
      <c r="M240" s="8" t="n">
        <f aca="false">N240-(N240*20%)</f>
        <v>56</v>
      </c>
      <c r="N240" s="8" t="n">
        <v>70</v>
      </c>
      <c r="O240" s="16"/>
      <c r="P240" s="16"/>
      <c r="Q240" s="16"/>
      <c r="R240" s="16"/>
      <c r="S240" s="12"/>
    </row>
    <row r="241" customFormat="false" ht="15" hidden="false" customHeight="true" outlineLevel="0" collapsed="false">
      <c r="A241" s="8" t="n">
        <v>2</v>
      </c>
      <c r="B241" s="12" t="s">
        <v>227</v>
      </c>
      <c r="C241" s="8" t="s">
        <v>228</v>
      </c>
      <c r="D241" s="8" t="s">
        <v>226</v>
      </c>
      <c r="E241" s="8" t="s">
        <v>226</v>
      </c>
      <c r="F241" s="8"/>
      <c r="G241" s="8"/>
      <c r="H241" s="20"/>
      <c r="I241" s="20"/>
      <c r="J241" s="20"/>
      <c r="K241" s="12"/>
      <c r="L241" s="12"/>
      <c r="M241" s="8" t="n">
        <f aca="false">N241-(N241*20%)</f>
        <v>184</v>
      </c>
      <c r="N241" s="8" t="n">
        <v>230</v>
      </c>
      <c r="O241" s="16"/>
      <c r="P241" s="16"/>
      <c r="Q241" s="16"/>
      <c r="R241" s="16"/>
      <c r="S241" s="12"/>
    </row>
    <row r="242" customFormat="false" ht="14.25" hidden="false" customHeight="false" outlineLevel="0" collapsed="false">
      <c r="A242" s="8"/>
      <c r="B242" s="12"/>
      <c r="C242" s="8"/>
      <c r="D242" s="8"/>
      <c r="E242" s="8"/>
      <c r="F242" s="8"/>
      <c r="G242" s="8"/>
      <c r="H242" s="12"/>
      <c r="I242" s="12"/>
      <c r="J242" s="12"/>
      <c r="K242" s="12"/>
      <c r="L242" s="12"/>
      <c r="M242" s="8"/>
      <c r="N242" s="8"/>
      <c r="O242" s="16"/>
      <c r="P242" s="16"/>
      <c r="Q242" s="16"/>
      <c r="R242" s="16"/>
      <c r="S242" s="12"/>
    </row>
    <row r="243" customFormat="false" ht="14.25" hidden="false" customHeight="false" outlineLevel="0" collapsed="false">
      <c r="A243" s="8" t="n">
        <v>1</v>
      </c>
      <c r="B243" s="12" t="s">
        <v>229</v>
      </c>
      <c r="C243" s="8"/>
      <c r="D243" s="8" t="s">
        <v>229</v>
      </c>
      <c r="E243" s="8" t="s">
        <v>229</v>
      </c>
      <c r="F243" s="8"/>
      <c r="G243" s="8"/>
      <c r="H243" s="12"/>
      <c r="I243" s="15" t="n">
        <f aca="false">J243/135%</f>
        <v>313.559322033898</v>
      </c>
      <c r="J243" s="15" t="n">
        <f aca="false">M243/2/118%</f>
        <v>423.305084745763</v>
      </c>
      <c r="K243" s="12"/>
      <c r="L243" s="12"/>
      <c r="M243" s="8" t="n">
        <v>999</v>
      </c>
      <c r="N243" s="8" t="n">
        <v>1249</v>
      </c>
      <c r="O243" s="16"/>
      <c r="P243" s="16"/>
      <c r="Q243" s="16"/>
      <c r="R243" s="16"/>
      <c r="S243" s="12"/>
    </row>
    <row r="244" customFormat="false" ht="16.5" hidden="false" customHeight="true" outlineLevel="0" collapsed="false">
      <c r="A244" s="13"/>
      <c r="B244" s="13"/>
      <c r="C244" s="14"/>
      <c r="D244" s="13"/>
      <c r="E244" s="13"/>
      <c r="F244" s="13"/>
      <c r="G244" s="14"/>
      <c r="H244" s="14"/>
      <c r="I244" s="14"/>
      <c r="J244" s="14"/>
      <c r="K244" s="14"/>
      <c r="L244" s="14"/>
      <c r="M244" s="8"/>
      <c r="N244" s="13"/>
      <c r="O244" s="14"/>
      <c r="P244" s="14"/>
      <c r="Q244" s="14"/>
      <c r="R244" s="14"/>
      <c r="S244" s="12"/>
    </row>
    <row r="245" customFormat="false" ht="15" hidden="false" customHeight="true" outlineLevel="0" collapsed="false">
      <c r="A245" s="8" t="n">
        <v>1</v>
      </c>
      <c r="B245" s="12" t="s">
        <v>230</v>
      </c>
      <c r="C245" s="8" t="s">
        <v>216</v>
      </c>
      <c r="D245" s="8" t="s">
        <v>231</v>
      </c>
      <c r="E245" s="8" t="s">
        <v>231</v>
      </c>
      <c r="F245" s="8"/>
      <c r="G245" s="8" t="n">
        <v>12200</v>
      </c>
      <c r="H245" s="12"/>
      <c r="I245" s="8" t="n">
        <v>6850</v>
      </c>
      <c r="J245" s="15" t="n">
        <f aca="false">M245/2/118%</f>
        <v>165.254237288136</v>
      </c>
      <c r="K245" s="12"/>
      <c r="L245" s="12"/>
      <c r="M245" s="8" t="n">
        <v>390</v>
      </c>
      <c r="N245" s="8" t="n">
        <v>390</v>
      </c>
      <c r="O245" s="12"/>
      <c r="P245" s="12"/>
      <c r="Q245" s="16"/>
      <c r="R245" s="16"/>
      <c r="S245" s="12"/>
    </row>
    <row r="246" customFormat="false" ht="15" hidden="false" customHeight="true" outlineLevel="0" collapsed="false">
      <c r="A246" s="8" t="n">
        <v>2</v>
      </c>
      <c r="B246" s="12" t="s">
        <v>232</v>
      </c>
      <c r="C246" s="8" t="s">
        <v>216</v>
      </c>
      <c r="D246" s="8" t="s">
        <v>231</v>
      </c>
      <c r="E246" s="8" t="s">
        <v>231</v>
      </c>
      <c r="F246" s="8"/>
      <c r="G246" s="8" t="n">
        <v>4250</v>
      </c>
      <c r="H246" s="12"/>
      <c r="I246" s="8" t="n">
        <v>4100</v>
      </c>
      <c r="J246" s="15" t="n">
        <f aca="false">M246/2/118%</f>
        <v>165.254237288136</v>
      </c>
      <c r="K246" s="12"/>
      <c r="L246" s="12"/>
      <c r="M246" s="8" t="n">
        <v>390</v>
      </c>
      <c r="N246" s="8" t="n">
        <v>390</v>
      </c>
      <c r="O246" s="12"/>
      <c r="P246" s="12"/>
      <c r="Q246" s="16"/>
      <c r="R246" s="16"/>
      <c r="S246" s="12"/>
    </row>
    <row r="247" customFormat="false" ht="15" hidden="false" customHeight="true" outlineLevel="0" collapsed="false">
      <c r="A247" s="8" t="n">
        <v>3</v>
      </c>
      <c r="B247" s="12" t="s">
        <v>233</v>
      </c>
      <c r="C247" s="8" t="s">
        <v>216</v>
      </c>
      <c r="D247" s="8" t="s">
        <v>231</v>
      </c>
      <c r="E247" s="8" t="s">
        <v>231</v>
      </c>
      <c r="F247" s="8"/>
      <c r="G247" s="8" t="n">
        <v>33500</v>
      </c>
      <c r="H247" s="12"/>
      <c r="I247" s="8" t="n">
        <v>14400</v>
      </c>
      <c r="J247" s="15" t="n">
        <f aca="false">M247/2/118%</f>
        <v>165.254237288136</v>
      </c>
      <c r="K247" s="12"/>
      <c r="L247" s="12"/>
      <c r="M247" s="8" t="n">
        <v>390</v>
      </c>
      <c r="N247" s="8" t="n">
        <v>390</v>
      </c>
      <c r="O247" s="12"/>
      <c r="P247" s="12"/>
      <c r="Q247" s="16"/>
      <c r="R247" s="16"/>
      <c r="S247" s="12"/>
    </row>
    <row r="248" customFormat="false" ht="15" hidden="false" customHeight="true" outlineLevel="0" collapsed="false">
      <c r="A248" s="8" t="n">
        <v>4</v>
      </c>
      <c r="B248" s="12" t="s">
        <v>234</v>
      </c>
      <c r="C248" s="8" t="s">
        <v>216</v>
      </c>
      <c r="D248" s="8" t="s">
        <v>231</v>
      </c>
      <c r="E248" s="8" t="s">
        <v>231</v>
      </c>
      <c r="F248" s="8"/>
      <c r="G248" s="8" t="n">
        <v>6550</v>
      </c>
      <c r="H248" s="12"/>
      <c r="I248" s="8" t="n">
        <v>4880</v>
      </c>
      <c r="J248" s="15" t="n">
        <f aca="false">M248/2/118%</f>
        <v>165.254237288136</v>
      </c>
      <c r="K248" s="12"/>
      <c r="L248" s="12"/>
      <c r="M248" s="8" t="n">
        <v>390</v>
      </c>
      <c r="N248" s="8" t="n">
        <v>390</v>
      </c>
      <c r="O248" s="12"/>
      <c r="P248" s="12"/>
      <c r="Q248" s="16"/>
      <c r="R248" s="16"/>
      <c r="S248" s="12"/>
    </row>
    <row r="249" customFormat="false" ht="15" hidden="false" customHeight="true" outlineLevel="0" collapsed="false">
      <c r="A249" s="8" t="n">
        <v>5</v>
      </c>
      <c r="B249" s="12" t="s">
        <v>235</v>
      </c>
      <c r="C249" s="8" t="s">
        <v>216</v>
      </c>
      <c r="D249" s="8" t="s">
        <v>231</v>
      </c>
      <c r="E249" s="8" t="s">
        <v>231</v>
      </c>
      <c r="F249" s="8"/>
      <c r="G249" s="8" t="n">
        <v>13860</v>
      </c>
      <c r="H249" s="12"/>
      <c r="I249" s="8" t="n">
        <v>7430</v>
      </c>
      <c r="J249" s="15" t="n">
        <f aca="false">M249/2/118%</f>
        <v>165.254237288136</v>
      </c>
      <c r="K249" s="12"/>
      <c r="L249" s="12"/>
      <c r="M249" s="8" t="n">
        <v>390</v>
      </c>
      <c r="N249" s="8" t="n">
        <v>390</v>
      </c>
      <c r="O249" s="12"/>
      <c r="P249" s="12"/>
      <c r="Q249" s="16"/>
      <c r="R249" s="16"/>
      <c r="S249" s="12"/>
    </row>
    <row r="250" customFormat="false" ht="15" hidden="false" customHeight="true" outlineLevel="0" collapsed="false">
      <c r="A250" s="8" t="n">
        <v>6</v>
      </c>
      <c r="B250" s="12" t="s">
        <v>236</v>
      </c>
      <c r="C250" s="8" t="s">
        <v>216</v>
      </c>
      <c r="D250" s="8" t="s">
        <v>231</v>
      </c>
      <c r="E250" s="8" t="s">
        <v>231</v>
      </c>
      <c r="F250" s="8"/>
      <c r="G250" s="8" t="n">
        <v>10930</v>
      </c>
      <c r="H250" s="12"/>
      <c r="I250" s="8" t="n">
        <v>6370</v>
      </c>
      <c r="J250" s="15" t="n">
        <f aca="false">M250/2/118%</f>
        <v>165.254237288136</v>
      </c>
      <c r="K250" s="12"/>
      <c r="L250" s="12"/>
      <c r="M250" s="8" t="n">
        <v>390</v>
      </c>
      <c r="N250" s="8" t="n">
        <v>390</v>
      </c>
      <c r="O250" s="12"/>
      <c r="P250" s="12"/>
      <c r="Q250" s="16"/>
      <c r="R250" s="16"/>
      <c r="S250" s="12"/>
    </row>
    <row r="251" customFormat="false" ht="14.25" hidden="false" customHeight="true" outlineLevel="0" collapsed="false">
      <c r="A251" s="8" t="n">
        <v>7</v>
      </c>
      <c r="B251" s="12" t="s">
        <v>237</v>
      </c>
      <c r="C251" s="8" t="s">
        <v>216</v>
      </c>
      <c r="D251" s="8" t="s">
        <v>231</v>
      </c>
      <c r="E251" s="8" t="s">
        <v>231</v>
      </c>
      <c r="F251" s="8"/>
      <c r="G251" s="8" t="n">
        <v>12340</v>
      </c>
      <c r="H251" s="12"/>
      <c r="I251" s="8" t="n">
        <v>6880</v>
      </c>
      <c r="J251" s="15" t="n">
        <f aca="false">M251/2/118%</f>
        <v>165.254237288136</v>
      </c>
      <c r="K251" s="12"/>
      <c r="L251" s="12"/>
      <c r="M251" s="8" t="n">
        <v>390</v>
      </c>
      <c r="N251" s="8" t="n">
        <v>390</v>
      </c>
      <c r="O251" s="12"/>
      <c r="P251" s="12"/>
      <c r="Q251" s="12"/>
      <c r="R251" s="12"/>
      <c r="S251" s="12"/>
    </row>
    <row r="252" customFormat="false" ht="14.25" hidden="false" customHeight="true" outlineLevel="0" collapsed="false">
      <c r="A252" s="8" t="n">
        <v>8</v>
      </c>
      <c r="B252" s="12" t="s">
        <v>238</v>
      </c>
      <c r="C252" s="8" t="s">
        <v>216</v>
      </c>
      <c r="D252" s="8" t="s">
        <v>231</v>
      </c>
      <c r="E252" s="8" t="s">
        <v>231</v>
      </c>
      <c r="F252" s="8"/>
      <c r="G252" s="8" t="n">
        <v>5850</v>
      </c>
      <c r="H252" s="12"/>
      <c r="I252" s="8" t="n">
        <v>4580</v>
      </c>
      <c r="J252" s="15" t="n">
        <f aca="false">M252/2/118%</f>
        <v>165.254237288136</v>
      </c>
      <c r="K252" s="12"/>
      <c r="L252" s="12"/>
      <c r="M252" s="8" t="n">
        <v>390</v>
      </c>
      <c r="N252" s="8" t="n">
        <v>390</v>
      </c>
      <c r="O252" s="12"/>
      <c r="P252" s="12"/>
      <c r="Q252" s="12"/>
      <c r="R252" s="12"/>
      <c r="S252" s="12"/>
    </row>
    <row r="253" customFormat="false" ht="14.25" hidden="false" customHeight="true" outlineLevel="0" collapsed="false">
      <c r="A253" s="8" t="n">
        <v>9</v>
      </c>
      <c r="B253" s="12" t="s">
        <v>239</v>
      </c>
      <c r="C253" s="8" t="s">
        <v>216</v>
      </c>
      <c r="D253" s="8" t="s">
        <v>231</v>
      </c>
      <c r="E253" s="8" t="s">
        <v>231</v>
      </c>
      <c r="F253" s="8"/>
      <c r="G253" s="8" t="n">
        <v>5250</v>
      </c>
      <c r="H253" s="12"/>
      <c r="I253" s="8" t="n">
        <v>4360</v>
      </c>
      <c r="J253" s="15" t="n">
        <f aca="false">M253/2/118%</f>
        <v>165.254237288136</v>
      </c>
      <c r="K253" s="12"/>
      <c r="L253" s="12"/>
      <c r="M253" s="8" t="n">
        <v>390</v>
      </c>
      <c r="N253" s="8" t="n">
        <v>390</v>
      </c>
      <c r="O253" s="12"/>
      <c r="P253" s="12"/>
      <c r="Q253" s="12"/>
      <c r="R253" s="12"/>
      <c r="S253" s="12"/>
    </row>
    <row r="254" customFormat="false" ht="15" hidden="false" customHeight="true" outlineLevel="0" collapsed="false">
      <c r="A254" s="8" t="n">
        <v>10</v>
      </c>
      <c r="B254" s="12" t="s">
        <v>240</v>
      </c>
      <c r="C254" s="8" t="s">
        <v>216</v>
      </c>
      <c r="D254" s="8" t="s">
        <v>231</v>
      </c>
      <c r="E254" s="8" t="s">
        <v>231</v>
      </c>
      <c r="F254" s="8"/>
      <c r="G254" s="8" t="n">
        <v>8750</v>
      </c>
      <c r="H254" s="12"/>
      <c r="I254" s="8" t="n">
        <v>5600</v>
      </c>
      <c r="J254" s="15" t="n">
        <f aca="false">M254/2/118%</f>
        <v>165.254237288136</v>
      </c>
      <c r="K254" s="12"/>
      <c r="L254" s="12"/>
      <c r="M254" s="8" t="n">
        <v>390</v>
      </c>
      <c r="N254" s="8" t="n">
        <v>390</v>
      </c>
      <c r="O254" s="12"/>
      <c r="P254" s="12"/>
      <c r="Q254" s="12"/>
      <c r="R254" s="12"/>
      <c r="S254" s="12"/>
    </row>
    <row r="255" customFormat="false" ht="14.25" hidden="false" customHeight="false" outlineLevel="0" collapsed="false">
      <c r="A255" s="8"/>
      <c r="B255" s="12"/>
      <c r="C255" s="8"/>
      <c r="D255" s="8"/>
      <c r="E255" s="8"/>
      <c r="F255" s="8"/>
      <c r="G255" s="8"/>
      <c r="H255" s="12"/>
      <c r="I255" s="12"/>
      <c r="J255" s="12"/>
      <c r="K255" s="12"/>
      <c r="L255" s="12"/>
      <c r="M255" s="8"/>
      <c r="N255" s="8"/>
      <c r="O255" s="12"/>
      <c r="P255" s="12"/>
      <c r="Q255" s="12"/>
      <c r="R255" s="12"/>
      <c r="S255" s="12"/>
    </row>
    <row r="256" customFormat="false" ht="14.25" hidden="false" customHeight="false" outlineLevel="0" collapsed="false">
      <c r="A256" s="8" t="n">
        <v>1</v>
      </c>
      <c r="B256" s="12" t="s">
        <v>241</v>
      </c>
      <c r="C256" s="8"/>
      <c r="D256" s="8" t="s">
        <v>241</v>
      </c>
      <c r="E256" s="8" t="s">
        <v>241</v>
      </c>
      <c r="F256" s="8"/>
      <c r="G256" s="8"/>
      <c r="H256" s="12"/>
      <c r="I256" s="12"/>
      <c r="J256" s="12"/>
      <c r="K256" s="12"/>
      <c r="L256" s="12"/>
      <c r="M256" s="8" t="n">
        <f aca="false">N256-(N256*20%)</f>
        <v>384</v>
      </c>
      <c r="N256" s="8" t="n">
        <v>480</v>
      </c>
      <c r="O256" s="12"/>
      <c r="P256" s="12"/>
      <c r="Q256" s="12"/>
      <c r="R256" s="12"/>
      <c r="S256" s="12"/>
    </row>
    <row r="257" customFormat="false" ht="14.25" hidden="false" customHeight="false" outlineLevel="0" collapsed="false">
      <c r="A257" s="8" t="n">
        <v>2</v>
      </c>
      <c r="B257" s="12" t="s">
        <v>242</v>
      </c>
      <c r="C257" s="8"/>
      <c r="D257" s="8" t="s">
        <v>242</v>
      </c>
      <c r="E257" s="8" t="s">
        <v>242</v>
      </c>
      <c r="F257" s="8"/>
      <c r="G257" s="8"/>
      <c r="H257" s="12"/>
      <c r="I257" s="12"/>
      <c r="J257" s="12"/>
      <c r="K257" s="12"/>
      <c r="L257" s="12"/>
      <c r="M257" s="8"/>
      <c r="N257" s="8"/>
      <c r="O257" s="12"/>
      <c r="P257" s="12"/>
      <c r="Q257" s="12"/>
      <c r="R257" s="12"/>
      <c r="S257" s="12"/>
    </row>
    <row r="258" customFormat="false" ht="14.25" hidden="false" customHeight="false" outlineLevel="0" collapsed="false">
      <c r="A258" s="8"/>
      <c r="B258" s="12"/>
      <c r="C258" s="8"/>
      <c r="D258" s="8"/>
      <c r="E258" s="8"/>
      <c r="F258" s="8"/>
      <c r="G258" s="8"/>
      <c r="H258" s="12"/>
      <c r="I258" s="12"/>
      <c r="J258" s="12"/>
      <c r="K258" s="12"/>
      <c r="L258" s="12"/>
      <c r="M258" s="8"/>
      <c r="N258" s="8"/>
      <c r="O258" s="12"/>
      <c r="P258" s="12"/>
      <c r="Q258" s="12"/>
      <c r="R258" s="12"/>
      <c r="S258" s="12"/>
    </row>
    <row r="259" customFormat="false" ht="14.25" hidden="false" customHeight="true" outlineLevel="0" collapsed="false">
      <c r="A259" s="8" t="n">
        <v>1</v>
      </c>
      <c r="B259" s="12" t="s">
        <v>243</v>
      </c>
      <c r="C259" s="8"/>
      <c r="D259" s="8" t="s">
        <v>244</v>
      </c>
      <c r="E259" s="8" t="s">
        <v>244</v>
      </c>
      <c r="F259" s="8"/>
      <c r="G259" s="8"/>
      <c r="H259" s="12"/>
      <c r="I259" s="12"/>
      <c r="J259" s="15" t="n">
        <f aca="false">M259/2/118%</f>
        <v>127.118644067797</v>
      </c>
      <c r="K259" s="12"/>
      <c r="L259" s="12"/>
      <c r="M259" s="8" t="n">
        <v>300</v>
      </c>
      <c r="N259" s="8" t="n">
        <v>300</v>
      </c>
      <c r="O259" s="12"/>
      <c r="P259" s="12"/>
      <c r="Q259" s="12"/>
      <c r="R259" s="12"/>
      <c r="S259" s="12"/>
    </row>
    <row r="260" customFormat="false" ht="14.25" hidden="false" customHeight="true" outlineLevel="0" collapsed="false">
      <c r="A260" s="8" t="n">
        <v>2</v>
      </c>
      <c r="B260" s="12" t="s">
        <v>245</v>
      </c>
      <c r="C260" s="8"/>
      <c r="D260" s="8" t="s">
        <v>244</v>
      </c>
      <c r="E260" s="8" t="s">
        <v>244</v>
      </c>
      <c r="F260" s="8"/>
      <c r="G260" s="8"/>
      <c r="H260" s="12"/>
      <c r="I260" s="12"/>
      <c r="J260" s="15" t="n">
        <f aca="false">M260/2/118%</f>
        <v>127.118644067797</v>
      </c>
      <c r="K260" s="12"/>
      <c r="L260" s="12"/>
      <c r="M260" s="8" t="n">
        <v>300</v>
      </c>
      <c r="N260" s="8" t="n">
        <v>300</v>
      </c>
      <c r="O260" s="12"/>
      <c r="P260" s="12"/>
      <c r="Q260" s="12"/>
      <c r="R260" s="12"/>
      <c r="S260" s="12"/>
    </row>
    <row r="261" customFormat="false" ht="14.25" hidden="false" customHeight="true" outlineLevel="0" collapsed="false">
      <c r="A261" s="8" t="n">
        <v>3</v>
      </c>
      <c r="B261" s="12" t="s">
        <v>246</v>
      </c>
      <c r="C261" s="8"/>
      <c r="D261" s="8" t="s">
        <v>244</v>
      </c>
      <c r="E261" s="8" t="s">
        <v>244</v>
      </c>
      <c r="F261" s="8"/>
      <c r="G261" s="8"/>
      <c r="H261" s="12"/>
      <c r="I261" s="12"/>
      <c r="J261" s="15" t="n">
        <f aca="false">M261/2/118%</f>
        <v>127.118644067797</v>
      </c>
      <c r="K261" s="12"/>
      <c r="L261" s="12"/>
      <c r="M261" s="8" t="n">
        <v>300</v>
      </c>
      <c r="N261" s="8" t="n">
        <v>300</v>
      </c>
      <c r="O261" s="12"/>
      <c r="P261" s="12"/>
      <c r="Q261" s="12"/>
      <c r="R261" s="12"/>
      <c r="S261" s="12"/>
    </row>
    <row r="262" customFormat="false" ht="14.25" hidden="false" customHeight="true" outlineLevel="0" collapsed="false">
      <c r="A262" s="8" t="n">
        <v>4</v>
      </c>
      <c r="B262" s="12" t="s">
        <v>247</v>
      </c>
      <c r="C262" s="8"/>
      <c r="D262" s="8" t="s">
        <v>244</v>
      </c>
      <c r="E262" s="8" t="s">
        <v>244</v>
      </c>
      <c r="F262" s="8"/>
      <c r="G262" s="8"/>
      <c r="H262" s="12"/>
      <c r="I262" s="12"/>
      <c r="J262" s="15" t="n">
        <f aca="false">M262/2/118%</f>
        <v>127.118644067797</v>
      </c>
      <c r="K262" s="12"/>
      <c r="L262" s="12"/>
      <c r="M262" s="8" t="n">
        <v>300</v>
      </c>
      <c r="N262" s="8" t="n">
        <v>300</v>
      </c>
      <c r="O262" s="12"/>
      <c r="P262" s="12"/>
      <c r="Q262" s="12"/>
      <c r="R262" s="12"/>
      <c r="S262" s="12"/>
    </row>
    <row r="263" customFormat="false" ht="14.25" hidden="false" customHeight="true" outlineLevel="0" collapsed="false">
      <c r="A263" s="8" t="n">
        <v>5</v>
      </c>
      <c r="B263" s="12" t="s">
        <v>248</v>
      </c>
      <c r="C263" s="8"/>
      <c r="D263" s="8" t="s">
        <v>244</v>
      </c>
      <c r="E263" s="8" t="s">
        <v>244</v>
      </c>
      <c r="F263" s="8"/>
      <c r="G263" s="8"/>
      <c r="H263" s="12"/>
      <c r="I263" s="12"/>
      <c r="J263" s="15" t="n">
        <f aca="false">M263/2/118%</f>
        <v>127.118644067797</v>
      </c>
      <c r="K263" s="12"/>
      <c r="L263" s="12"/>
      <c r="M263" s="8" t="n">
        <v>300</v>
      </c>
      <c r="N263" s="8" t="n">
        <v>300</v>
      </c>
      <c r="O263" s="12"/>
      <c r="P263" s="12"/>
      <c r="Q263" s="12"/>
      <c r="R263" s="12"/>
      <c r="S263" s="12"/>
    </row>
    <row r="264" customFormat="false" ht="14.25" hidden="false" customHeight="true" outlineLevel="0" collapsed="false">
      <c r="A264" s="8" t="n">
        <v>6</v>
      </c>
      <c r="B264" s="12" t="s">
        <v>249</v>
      </c>
      <c r="C264" s="8"/>
      <c r="D264" s="8" t="s">
        <v>244</v>
      </c>
      <c r="E264" s="8" t="s">
        <v>244</v>
      </c>
      <c r="F264" s="8"/>
      <c r="G264" s="8"/>
      <c r="H264" s="12"/>
      <c r="I264" s="12"/>
      <c r="J264" s="15" t="n">
        <f aca="false">M264/2/118%</f>
        <v>127.118644067797</v>
      </c>
      <c r="K264" s="12"/>
      <c r="L264" s="12"/>
      <c r="M264" s="8" t="n">
        <v>300</v>
      </c>
      <c r="N264" s="8" t="n">
        <v>300</v>
      </c>
      <c r="O264" s="12"/>
      <c r="P264" s="12"/>
      <c r="Q264" s="12"/>
      <c r="R264" s="12"/>
      <c r="S264" s="12"/>
    </row>
    <row r="265" customFormat="false" ht="14.25" hidden="false" customHeight="true" outlineLevel="0" collapsed="false">
      <c r="A265" s="8" t="n">
        <v>7</v>
      </c>
      <c r="B265" s="12" t="s">
        <v>250</v>
      </c>
      <c r="C265" s="8"/>
      <c r="D265" s="8" t="s">
        <v>244</v>
      </c>
      <c r="E265" s="8" t="s">
        <v>244</v>
      </c>
      <c r="F265" s="8"/>
      <c r="G265" s="8"/>
      <c r="H265" s="12"/>
      <c r="I265" s="12"/>
      <c r="J265" s="15" t="n">
        <f aca="false">M265/2/118%</f>
        <v>127.118644067797</v>
      </c>
      <c r="K265" s="12"/>
      <c r="L265" s="12"/>
      <c r="M265" s="8" t="n">
        <v>300</v>
      </c>
      <c r="N265" s="8" t="n">
        <v>300</v>
      </c>
      <c r="O265" s="12"/>
      <c r="P265" s="12"/>
      <c r="Q265" s="12"/>
      <c r="R265" s="12"/>
      <c r="S265" s="12"/>
    </row>
    <row r="266" customFormat="false" ht="14.25" hidden="false" customHeight="true" outlineLevel="0" collapsed="false">
      <c r="A266" s="8" t="n">
        <v>8</v>
      </c>
      <c r="B266" s="12" t="s">
        <v>251</v>
      </c>
      <c r="C266" s="8"/>
      <c r="D266" s="8" t="s">
        <v>244</v>
      </c>
      <c r="E266" s="8" t="s">
        <v>244</v>
      </c>
      <c r="F266" s="8"/>
      <c r="G266" s="8"/>
      <c r="H266" s="12"/>
      <c r="I266" s="12"/>
      <c r="J266" s="15" t="n">
        <f aca="false">M266/2/118%</f>
        <v>127.118644067797</v>
      </c>
      <c r="K266" s="12"/>
      <c r="L266" s="12"/>
      <c r="M266" s="8" t="n">
        <v>300</v>
      </c>
      <c r="N266" s="8" t="n">
        <v>300</v>
      </c>
      <c r="O266" s="12"/>
      <c r="P266" s="12"/>
      <c r="Q266" s="12"/>
      <c r="R266" s="12"/>
      <c r="S266" s="12"/>
    </row>
    <row r="267" customFormat="false" ht="14.25" hidden="false" customHeight="true" outlineLevel="0" collapsed="false">
      <c r="A267" s="8" t="n">
        <v>9</v>
      </c>
      <c r="B267" s="12" t="s">
        <v>252</v>
      </c>
      <c r="C267" s="8"/>
      <c r="D267" s="8" t="s">
        <v>244</v>
      </c>
      <c r="E267" s="8" t="s">
        <v>244</v>
      </c>
      <c r="F267" s="8"/>
      <c r="G267" s="8"/>
      <c r="H267" s="12"/>
      <c r="I267" s="12"/>
      <c r="J267" s="15" t="n">
        <f aca="false">M267/2/118%</f>
        <v>127.118644067797</v>
      </c>
      <c r="K267" s="12"/>
      <c r="L267" s="12"/>
      <c r="M267" s="8" t="n">
        <v>300</v>
      </c>
      <c r="N267" s="8" t="n">
        <v>300</v>
      </c>
      <c r="O267" s="12"/>
      <c r="P267" s="12"/>
      <c r="Q267" s="12"/>
      <c r="R267" s="12"/>
      <c r="S267" s="12"/>
    </row>
    <row r="268" customFormat="false" ht="15" hidden="false" customHeight="true" outlineLevel="0" collapsed="false">
      <c r="A268" s="8" t="n">
        <v>10</v>
      </c>
      <c r="B268" s="12" t="s">
        <v>253</v>
      </c>
      <c r="C268" s="8"/>
      <c r="D268" s="8" t="s">
        <v>244</v>
      </c>
      <c r="E268" s="8" t="s">
        <v>244</v>
      </c>
      <c r="F268" s="8"/>
      <c r="G268" s="8"/>
      <c r="H268" s="12"/>
      <c r="I268" s="12"/>
      <c r="J268" s="15" t="n">
        <f aca="false">M268/2/118%</f>
        <v>127.118644067797</v>
      </c>
      <c r="K268" s="12"/>
      <c r="L268" s="12"/>
      <c r="M268" s="8" t="n">
        <v>300</v>
      </c>
      <c r="N268" s="8" t="n">
        <v>300</v>
      </c>
      <c r="O268" s="12"/>
      <c r="P268" s="12"/>
      <c r="Q268" s="12"/>
      <c r="R268" s="12"/>
      <c r="S268" s="12"/>
    </row>
    <row r="269" customFormat="false" ht="14.25" hidden="false" customHeight="false" outlineLevel="0" collapsed="false">
      <c r="A269" s="12"/>
      <c r="B269" s="12"/>
      <c r="C269" s="12"/>
      <c r="D269" s="12"/>
      <c r="E269" s="12"/>
      <c r="F269" s="12"/>
      <c r="G269" s="8"/>
      <c r="H269" s="12"/>
      <c r="I269" s="12"/>
      <c r="J269" s="12"/>
      <c r="K269" s="12"/>
      <c r="L269" s="12"/>
      <c r="M269" s="8"/>
      <c r="N269" s="8"/>
      <c r="O269" s="12"/>
      <c r="P269" s="12"/>
      <c r="Q269" s="12"/>
      <c r="R269" s="12"/>
      <c r="S269" s="12"/>
    </row>
    <row r="270" customFormat="false" ht="14.25" hidden="false" customHeight="true" outlineLevel="0" collapsed="false">
      <c r="A270" s="8" t="n">
        <v>1</v>
      </c>
      <c r="B270" s="12" t="s">
        <v>254</v>
      </c>
      <c r="C270" s="12"/>
      <c r="D270" s="8" t="s">
        <v>255</v>
      </c>
      <c r="E270" s="8" t="s">
        <v>255</v>
      </c>
      <c r="F270" s="12"/>
      <c r="G270" s="8"/>
      <c r="H270" s="15" t="n">
        <f aca="false">K270/135%</f>
        <v>70.5467372134039</v>
      </c>
      <c r="I270" s="12"/>
      <c r="J270" s="12"/>
      <c r="K270" s="15" t="n">
        <f aca="false">M270/2/105%</f>
        <v>95.2380952380952</v>
      </c>
      <c r="L270" s="12"/>
      <c r="M270" s="8" t="n">
        <v>200</v>
      </c>
      <c r="N270" s="8" t="n">
        <v>200</v>
      </c>
      <c r="O270" s="12"/>
      <c r="P270" s="12"/>
      <c r="Q270" s="12"/>
      <c r="R270" s="12"/>
      <c r="S270" s="12"/>
    </row>
    <row r="271" customFormat="false" ht="14.25" hidden="false" customHeight="false" outlineLevel="0" collapsed="false">
      <c r="A271" s="8" t="n">
        <v>2</v>
      </c>
      <c r="B271" s="12" t="s">
        <v>256</v>
      </c>
      <c r="C271" s="12"/>
      <c r="D271" s="8" t="s">
        <v>255</v>
      </c>
      <c r="E271" s="8" t="s">
        <v>255</v>
      </c>
      <c r="F271" s="12"/>
      <c r="G271" s="8"/>
      <c r="H271" s="15" t="n">
        <f aca="false">K271/135%</f>
        <v>70.5467372134039</v>
      </c>
      <c r="I271" s="12"/>
      <c r="J271" s="12"/>
      <c r="K271" s="15" t="n">
        <f aca="false">M271/2/105%</f>
        <v>95.2380952380952</v>
      </c>
      <c r="L271" s="12"/>
      <c r="M271" s="8" t="n">
        <v>200</v>
      </c>
      <c r="N271" s="8" t="n">
        <v>200</v>
      </c>
      <c r="O271" s="12"/>
      <c r="P271" s="12"/>
      <c r="Q271" s="12"/>
      <c r="R271" s="12"/>
      <c r="S271" s="12"/>
    </row>
    <row r="272" customFormat="false" ht="14.25" hidden="false" customHeight="false" outlineLevel="0" collapsed="false">
      <c r="A272" s="8" t="n">
        <v>3</v>
      </c>
      <c r="B272" s="12" t="s">
        <v>257</v>
      </c>
      <c r="C272" s="12"/>
      <c r="D272" s="8" t="s">
        <v>255</v>
      </c>
      <c r="E272" s="8" t="s">
        <v>255</v>
      </c>
      <c r="F272" s="12"/>
      <c r="G272" s="8"/>
      <c r="H272" s="15" t="n">
        <f aca="false">K272/135%</f>
        <v>70.5467372134039</v>
      </c>
      <c r="I272" s="12"/>
      <c r="J272" s="12"/>
      <c r="K272" s="15" t="n">
        <f aca="false">M272/2/105%</f>
        <v>95.2380952380952</v>
      </c>
      <c r="L272" s="12"/>
      <c r="M272" s="8" t="n">
        <v>200</v>
      </c>
      <c r="N272" s="8" t="n">
        <v>200</v>
      </c>
      <c r="O272" s="12"/>
      <c r="P272" s="12"/>
      <c r="Q272" s="12"/>
      <c r="R272" s="12"/>
      <c r="S272" s="12"/>
    </row>
    <row r="273" customFormat="false" ht="14.25" hidden="false" customHeight="false" outlineLevel="0" collapsed="false">
      <c r="A273" s="8" t="n">
        <v>4</v>
      </c>
      <c r="B273" s="12" t="s">
        <v>258</v>
      </c>
      <c r="C273" s="8"/>
      <c r="D273" s="8" t="s">
        <v>255</v>
      </c>
      <c r="E273" s="8" t="s">
        <v>255</v>
      </c>
      <c r="F273" s="8"/>
      <c r="G273" s="8"/>
      <c r="H273" s="15" t="n">
        <f aca="false">K273/135%</f>
        <v>70.5467372134039</v>
      </c>
      <c r="I273" s="12"/>
      <c r="J273" s="12"/>
      <c r="K273" s="15" t="n">
        <f aca="false">M273/2/105%</f>
        <v>95.2380952380952</v>
      </c>
      <c r="L273" s="12"/>
      <c r="M273" s="8" t="n">
        <v>200</v>
      </c>
      <c r="N273" s="8" t="n">
        <v>200</v>
      </c>
      <c r="O273" s="12"/>
      <c r="P273" s="12"/>
      <c r="Q273" s="12"/>
      <c r="R273" s="12"/>
      <c r="S273" s="12"/>
    </row>
    <row r="274" customFormat="false" ht="14.25" hidden="false" customHeight="false" outlineLevel="0" collapsed="false">
      <c r="A274" s="12"/>
      <c r="B274" s="12"/>
      <c r="C274" s="8"/>
      <c r="D274" s="8"/>
      <c r="E274" s="8"/>
      <c r="F274" s="8"/>
      <c r="G274" s="8"/>
      <c r="H274" s="12"/>
      <c r="I274" s="12"/>
      <c r="J274" s="12"/>
      <c r="K274" s="15"/>
      <c r="L274" s="12"/>
      <c r="M274" s="8"/>
      <c r="N274" s="8"/>
      <c r="O274" s="12"/>
      <c r="P274" s="12"/>
      <c r="Q274" s="12"/>
      <c r="R274" s="12"/>
      <c r="S274" s="12"/>
    </row>
    <row r="275" customFormat="false" ht="14.25" hidden="false" customHeight="true" outlineLevel="0" collapsed="false">
      <c r="A275" s="8" t="n">
        <v>1</v>
      </c>
      <c r="B275" s="12" t="s">
        <v>259</v>
      </c>
      <c r="C275" s="8" t="n">
        <v>100</v>
      </c>
      <c r="D275" s="8" t="s">
        <v>260</v>
      </c>
      <c r="E275" s="8" t="s">
        <v>260</v>
      </c>
      <c r="F275" s="8"/>
      <c r="G275" s="8"/>
      <c r="H275" s="15" t="n">
        <f aca="false">K275/135%</f>
        <v>140.740740740741</v>
      </c>
      <c r="I275" s="12"/>
      <c r="J275" s="12"/>
      <c r="K275" s="15" t="n">
        <f aca="false">M275/2/105%</f>
        <v>190</v>
      </c>
      <c r="L275" s="12"/>
      <c r="M275" s="8" t="n">
        <v>399</v>
      </c>
      <c r="N275" s="8" t="n">
        <v>399</v>
      </c>
      <c r="O275" s="12"/>
      <c r="P275" s="12"/>
      <c r="Q275" s="12"/>
      <c r="R275" s="12"/>
      <c r="S275" s="12"/>
    </row>
    <row r="276" customFormat="false" ht="14.25" hidden="false" customHeight="true" outlineLevel="0" collapsed="false">
      <c r="A276" s="8" t="n">
        <v>2</v>
      </c>
      <c r="B276" s="12" t="s">
        <v>261</v>
      </c>
      <c r="C276" s="8" t="n">
        <v>100</v>
      </c>
      <c r="D276" s="8" t="s">
        <v>260</v>
      </c>
      <c r="E276" s="8" t="s">
        <v>260</v>
      </c>
      <c r="F276" s="8"/>
      <c r="G276" s="8"/>
      <c r="H276" s="15" t="n">
        <f aca="false">K276/135%</f>
        <v>140.740740740741</v>
      </c>
      <c r="I276" s="12"/>
      <c r="J276" s="12"/>
      <c r="K276" s="15" t="n">
        <f aca="false">M276/2/105%</f>
        <v>190</v>
      </c>
      <c r="L276" s="12"/>
      <c r="M276" s="8" t="n">
        <v>399</v>
      </c>
      <c r="N276" s="8" t="n">
        <v>399</v>
      </c>
      <c r="O276" s="12"/>
      <c r="P276" s="12"/>
      <c r="Q276" s="12"/>
      <c r="R276" s="12"/>
      <c r="S276" s="12"/>
    </row>
    <row r="277" customFormat="false" ht="14.25" hidden="false" customHeight="true" outlineLevel="0" collapsed="false">
      <c r="A277" s="8" t="n">
        <v>3</v>
      </c>
      <c r="B277" s="12" t="s">
        <v>262</v>
      </c>
      <c r="C277" s="8" t="n">
        <v>100</v>
      </c>
      <c r="D277" s="8" t="s">
        <v>260</v>
      </c>
      <c r="E277" s="8" t="s">
        <v>260</v>
      </c>
      <c r="F277" s="8"/>
      <c r="G277" s="8"/>
      <c r="H277" s="15" t="n">
        <f aca="false">K277/135%</f>
        <v>176.014109347443</v>
      </c>
      <c r="I277" s="12"/>
      <c r="J277" s="12"/>
      <c r="K277" s="15" t="n">
        <f aca="false">M277/2/105%</f>
        <v>237.619047619048</v>
      </c>
      <c r="L277" s="12"/>
      <c r="M277" s="8" t="n">
        <v>499</v>
      </c>
      <c r="N277" s="8" t="n">
        <v>499</v>
      </c>
      <c r="O277" s="12"/>
      <c r="P277" s="12"/>
      <c r="Q277" s="12"/>
      <c r="R277" s="12"/>
      <c r="S277" s="12"/>
    </row>
    <row r="278" customFormat="false" ht="14.25" hidden="false" customHeight="true" outlineLevel="0" collapsed="false">
      <c r="A278" s="8" t="n">
        <v>4</v>
      </c>
      <c r="B278" s="12" t="s">
        <v>112</v>
      </c>
      <c r="C278" s="8" t="n">
        <v>100</v>
      </c>
      <c r="D278" s="8" t="s">
        <v>260</v>
      </c>
      <c r="E278" s="8" t="s">
        <v>260</v>
      </c>
      <c r="F278" s="8"/>
      <c r="G278" s="8"/>
      <c r="H278" s="15" t="n">
        <f aca="false">K278/135%</f>
        <v>176.014109347443</v>
      </c>
      <c r="I278" s="12"/>
      <c r="J278" s="12"/>
      <c r="K278" s="15" t="n">
        <f aca="false">M278/2/105%</f>
        <v>237.619047619048</v>
      </c>
      <c r="L278" s="12"/>
      <c r="M278" s="8" t="n">
        <v>499</v>
      </c>
      <c r="N278" s="8" t="n">
        <v>499</v>
      </c>
      <c r="O278" s="12"/>
      <c r="P278" s="12"/>
      <c r="Q278" s="12"/>
      <c r="R278" s="12"/>
      <c r="S278" s="12"/>
    </row>
    <row r="279" customFormat="false" ht="14.25" hidden="false" customHeight="true" outlineLevel="0" collapsed="false">
      <c r="A279" s="8" t="n">
        <v>5</v>
      </c>
      <c r="B279" s="12" t="s">
        <v>263</v>
      </c>
      <c r="C279" s="8" t="n">
        <v>100</v>
      </c>
      <c r="D279" s="8" t="s">
        <v>260</v>
      </c>
      <c r="E279" s="8" t="s">
        <v>260</v>
      </c>
      <c r="F279" s="8"/>
      <c r="G279" s="8"/>
      <c r="H279" s="15" t="n">
        <f aca="false">K279/135%</f>
        <v>140.740740740741</v>
      </c>
      <c r="I279" s="12"/>
      <c r="J279" s="12"/>
      <c r="K279" s="15" t="n">
        <f aca="false">M279/2/105%</f>
        <v>190</v>
      </c>
      <c r="L279" s="12"/>
      <c r="M279" s="8" t="n">
        <v>399</v>
      </c>
      <c r="N279" s="8" t="n">
        <v>399</v>
      </c>
      <c r="O279" s="12"/>
      <c r="P279" s="12"/>
      <c r="Q279" s="12"/>
      <c r="R279" s="12"/>
      <c r="S279" s="12"/>
    </row>
    <row r="280" customFormat="false" ht="15" hidden="false" customHeight="true" outlineLevel="0" collapsed="false">
      <c r="A280" s="8" t="n">
        <v>6</v>
      </c>
      <c r="B280" s="12" t="s">
        <v>264</v>
      </c>
      <c r="C280" s="8" t="n">
        <v>100</v>
      </c>
      <c r="D280" s="8" t="s">
        <v>260</v>
      </c>
      <c r="E280" s="8" t="s">
        <v>260</v>
      </c>
      <c r="F280" s="8"/>
      <c r="G280" s="8"/>
      <c r="H280" s="15" t="n">
        <f aca="false">K280/135%</f>
        <v>140.740740740741</v>
      </c>
      <c r="I280" s="12"/>
      <c r="J280" s="12"/>
      <c r="K280" s="15" t="n">
        <f aca="false">M280/2/105%</f>
        <v>190</v>
      </c>
      <c r="L280" s="12"/>
      <c r="M280" s="8" t="n">
        <v>399</v>
      </c>
      <c r="N280" s="8" t="n">
        <v>399</v>
      </c>
      <c r="O280" s="12"/>
      <c r="P280" s="12"/>
      <c r="Q280" s="12"/>
      <c r="R280" s="12"/>
      <c r="S280" s="12"/>
    </row>
  </sheetData>
  <printOptions headings="false" gridLines="false" gridLinesSet="true" horizontalCentered="false" verticalCentered="false"/>
  <pageMargins left="0" right="0" top="0" bottom="0.157638888888889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0" sqref="D29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24.18"/>
    <col collapsed="false" customWidth="true" hidden="false" outlineLevel="0" max="3" min="2" style="1" width="15.73"/>
  </cols>
  <sheetData>
    <row r="1" customFormat="false" ht="61.9" hidden="false" customHeight="false" outlineLevel="0" collapsed="false">
      <c r="A1" s="21" t="s">
        <v>0</v>
      </c>
      <c r="B1" s="21" t="s">
        <v>4</v>
      </c>
      <c r="C1" s="21" t="s">
        <v>1</v>
      </c>
      <c r="D1" s="22" t="s">
        <v>102</v>
      </c>
      <c r="E1" s="22" t="s">
        <v>104</v>
      </c>
      <c r="G1" s="22" t="s">
        <v>265</v>
      </c>
      <c r="H1" s="22" t="s">
        <v>104</v>
      </c>
      <c r="I1" s="22" t="s">
        <v>266</v>
      </c>
    </row>
    <row r="2" customFormat="false" ht="14.25" hidden="false" customHeight="false" outlineLevel="0" collapsed="false">
      <c r="A2" s="23" t="s">
        <v>105</v>
      </c>
      <c r="B2" s="23" t="s">
        <v>107</v>
      </c>
      <c r="C2" s="24" t="s">
        <v>106</v>
      </c>
      <c r="D2" s="25" t="n">
        <v>100</v>
      </c>
      <c r="E2" s="25" t="n">
        <v>270</v>
      </c>
      <c r="G2" s="2" t="n">
        <v>150</v>
      </c>
      <c r="H2" s="26" t="n">
        <v>200</v>
      </c>
      <c r="I2" s="2" t="n">
        <v>280</v>
      </c>
      <c r="K2" s="27" t="n">
        <f aca="false">G2*8/6</f>
        <v>200</v>
      </c>
    </row>
    <row r="3" customFormat="false" ht="14.25" hidden="false" customHeight="false" outlineLevel="0" collapsed="false">
      <c r="A3" s="23" t="s">
        <v>108</v>
      </c>
      <c r="B3" s="23" t="s">
        <v>107</v>
      </c>
      <c r="C3" s="24" t="s">
        <v>106</v>
      </c>
      <c r="D3" s="25" t="n">
        <v>125</v>
      </c>
      <c r="E3" s="25" t="n">
        <v>340</v>
      </c>
      <c r="G3" s="2" t="n">
        <v>200</v>
      </c>
      <c r="H3" s="26" t="n">
        <v>270</v>
      </c>
      <c r="I3" s="2" t="n">
        <v>380</v>
      </c>
      <c r="K3" s="27" t="n">
        <f aca="false">G3*8/6</f>
        <v>266.666666666667</v>
      </c>
    </row>
    <row r="4" customFormat="false" ht="14.25" hidden="false" customHeight="false" outlineLevel="0" collapsed="false">
      <c r="A4" s="23" t="s">
        <v>121</v>
      </c>
      <c r="B4" s="23" t="s">
        <v>107</v>
      </c>
      <c r="C4" s="24" t="s">
        <v>106</v>
      </c>
      <c r="D4" s="25" t="n">
        <v>125</v>
      </c>
      <c r="E4" s="25" t="n">
        <v>340</v>
      </c>
      <c r="G4" s="2" t="n">
        <v>200</v>
      </c>
      <c r="H4" s="26" t="n">
        <v>270</v>
      </c>
      <c r="I4" s="2" t="n">
        <v>380</v>
      </c>
      <c r="K4" s="27" t="n">
        <f aca="false">G4*8/6</f>
        <v>266.666666666667</v>
      </c>
    </row>
    <row r="5" customFormat="false" ht="14.25" hidden="false" customHeight="false" outlineLevel="0" collapsed="false">
      <c r="A5" s="23" t="s">
        <v>122</v>
      </c>
      <c r="B5" s="23" t="s">
        <v>107</v>
      </c>
      <c r="C5" s="24" t="s">
        <v>106</v>
      </c>
      <c r="D5" s="25" t="n">
        <v>125</v>
      </c>
      <c r="E5" s="25" t="n">
        <v>340</v>
      </c>
      <c r="G5" s="2" t="n">
        <v>200</v>
      </c>
      <c r="H5" s="26" t="n">
        <v>270</v>
      </c>
      <c r="I5" s="2" t="n">
        <v>380</v>
      </c>
      <c r="K5" s="27" t="n">
        <f aca="false">G5*8/6</f>
        <v>266.666666666667</v>
      </c>
    </row>
    <row r="6" customFormat="false" ht="14.25" hidden="false" customHeight="false" outlineLevel="0" collapsed="false">
      <c r="A6" s="23" t="s">
        <v>109</v>
      </c>
      <c r="B6" s="23" t="s">
        <v>107</v>
      </c>
      <c r="C6" s="24" t="s">
        <v>106</v>
      </c>
      <c r="D6" s="25" t="n">
        <v>137.5</v>
      </c>
      <c r="E6" s="25" t="n">
        <v>370</v>
      </c>
      <c r="G6" s="2" t="n">
        <v>200</v>
      </c>
      <c r="H6" s="26" t="n">
        <v>270</v>
      </c>
      <c r="I6" s="2" t="n">
        <v>380</v>
      </c>
      <c r="K6" s="27" t="n">
        <f aca="false">G6*8/6</f>
        <v>266.666666666667</v>
      </c>
    </row>
    <row r="7" customFormat="false" ht="14.25" hidden="false" customHeight="false" outlineLevel="0" collapsed="false">
      <c r="A7" s="23" t="s">
        <v>110</v>
      </c>
      <c r="B7" s="23" t="s">
        <v>107</v>
      </c>
      <c r="C7" s="24" t="s">
        <v>106</v>
      </c>
      <c r="D7" s="25" t="n">
        <v>137.5</v>
      </c>
      <c r="E7" s="25" t="n">
        <v>370</v>
      </c>
      <c r="G7" s="2" t="n">
        <v>200</v>
      </c>
      <c r="H7" s="26" t="n">
        <v>270</v>
      </c>
      <c r="I7" s="2" t="n">
        <v>380</v>
      </c>
      <c r="K7" s="27" t="n">
        <f aca="false">G7*8/6</f>
        <v>266.666666666667</v>
      </c>
    </row>
    <row r="8" customFormat="false" ht="14.25" hidden="false" customHeight="false" outlineLevel="0" collapsed="false">
      <c r="A8" s="23" t="s">
        <v>114</v>
      </c>
      <c r="B8" s="23" t="s">
        <v>107</v>
      </c>
      <c r="C8" s="24" t="s">
        <v>106</v>
      </c>
      <c r="D8" s="25" t="n">
        <v>150</v>
      </c>
      <c r="E8" s="25" t="n">
        <f aca="false">D8*8/3</f>
        <v>400</v>
      </c>
      <c r="G8" s="2" t="n">
        <v>250</v>
      </c>
      <c r="H8" s="26" t="n">
        <v>340</v>
      </c>
      <c r="I8" s="2" t="n">
        <v>480</v>
      </c>
      <c r="K8" s="27" t="n">
        <f aca="false">G8*8/6</f>
        <v>333.333333333333</v>
      </c>
    </row>
    <row r="9" customFormat="false" ht="14.25" hidden="false" customHeight="false" outlineLevel="0" collapsed="false">
      <c r="A9" s="23" t="s">
        <v>117</v>
      </c>
      <c r="B9" s="23" t="s">
        <v>107</v>
      </c>
      <c r="C9" s="24" t="s">
        <v>106</v>
      </c>
      <c r="D9" s="25" t="n">
        <v>150</v>
      </c>
      <c r="E9" s="25" t="n">
        <f aca="false">D9*8/3</f>
        <v>400</v>
      </c>
      <c r="G9" s="2" t="n">
        <v>250</v>
      </c>
      <c r="H9" s="26" t="n">
        <v>340</v>
      </c>
      <c r="I9" s="2" t="n">
        <v>480</v>
      </c>
      <c r="K9" s="27" t="n">
        <f aca="false">G9*8/6</f>
        <v>333.333333333333</v>
      </c>
    </row>
    <row r="10" customFormat="false" ht="14.25" hidden="false" customHeight="false" outlineLevel="0" collapsed="false">
      <c r="A10" s="23" t="s">
        <v>131</v>
      </c>
      <c r="B10" s="23" t="s">
        <v>107</v>
      </c>
      <c r="C10" s="24" t="s">
        <v>106</v>
      </c>
      <c r="D10" s="25" t="n">
        <v>150</v>
      </c>
      <c r="E10" s="25" t="n">
        <f aca="false">D10*8/3</f>
        <v>400</v>
      </c>
      <c r="G10" s="2" t="n">
        <v>250</v>
      </c>
      <c r="H10" s="26" t="n">
        <v>340</v>
      </c>
      <c r="I10" s="2" t="n">
        <v>480</v>
      </c>
      <c r="K10" s="27" t="n">
        <f aca="false">G10*8/6</f>
        <v>333.333333333333</v>
      </c>
    </row>
    <row r="11" customFormat="false" ht="14.25" hidden="false" customHeight="false" outlineLevel="0" collapsed="false">
      <c r="A11" s="23" t="s">
        <v>116</v>
      </c>
      <c r="B11" s="23" t="s">
        <v>107</v>
      </c>
      <c r="C11" s="24" t="s">
        <v>106</v>
      </c>
      <c r="D11" s="25" t="n">
        <v>162.5</v>
      </c>
      <c r="E11" s="25" t="n">
        <v>440</v>
      </c>
      <c r="G11" s="2" t="n">
        <v>250</v>
      </c>
      <c r="H11" s="26" t="n">
        <v>340</v>
      </c>
      <c r="I11" s="2" t="n">
        <v>480</v>
      </c>
      <c r="K11" s="27" t="n">
        <f aca="false">G11*8/6</f>
        <v>333.333333333333</v>
      </c>
    </row>
    <row r="12" customFormat="false" ht="14.25" hidden="false" customHeight="false" outlineLevel="0" collapsed="false">
      <c r="A12" s="23" t="s">
        <v>120</v>
      </c>
      <c r="B12" s="23" t="s">
        <v>107</v>
      </c>
      <c r="C12" s="24" t="s">
        <v>106</v>
      </c>
      <c r="D12" s="25" t="n">
        <v>162.5</v>
      </c>
      <c r="E12" s="25" t="n">
        <v>440</v>
      </c>
      <c r="G12" s="2" t="n">
        <v>250</v>
      </c>
      <c r="H12" s="26" t="n">
        <v>340</v>
      </c>
      <c r="I12" s="2" t="n">
        <v>480</v>
      </c>
      <c r="K12" s="27" t="n">
        <f aca="false">G12*8/6</f>
        <v>333.333333333333</v>
      </c>
    </row>
    <row r="13" customFormat="false" ht="14.25" hidden="false" customHeight="false" outlineLevel="0" collapsed="false">
      <c r="A13" s="23" t="s">
        <v>40</v>
      </c>
      <c r="B13" s="23" t="s">
        <v>107</v>
      </c>
      <c r="C13" s="24" t="s">
        <v>106</v>
      </c>
      <c r="D13" s="25" t="n">
        <v>175</v>
      </c>
      <c r="E13" s="25" t="n">
        <v>470</v>
      </c>
      <c r="G13" s="2" t="n">
        <v>300</v>
      </c>
      <c r="H13" s="26" t="n">
        <v>400</v>
      </c>
      <c r="I13" s="2" t="n">
        <v>580</v>
      </c>
      <c r="K13" s="27" t="n">
        <f aca="false">G13*8/6</f>
        <v>400</v>
      </c>
    </row>
    <row r="14" customFormat="false" ht="14.25" hidden="false" customHeight="false" outlineLevel="0" collapsed="false">
      <c r="A14" s="23" t="s">
        <v>115</v>
      </c>
      <c r="B14" s="23" t="s">
        <v>107</v>
      </c>
      <c r="C14" s="24" t="s">
        <v>106</v>
      </c>
      <c r="D14" s="25" t="n">
        <v>175</v>
      </c>
      <c r="E14" s="25" t="n">
        <v>470</v>
      </c>
      <c r="G14" s="2" t="n">
        <v>300</v>
      </c>
      <c r="H14" s="26" t="n">
        <v>400</v>
      </c>
      <c r="I14" s="2" t="n">
        <v>580</v>
      </c>
      <c r="K14" s="27" t="n">
        <f aca="false">G14*8/6</f>
        <v>400</v>
      </c>
    </row>
    <row r="15" customFormat="false" ht="14.25" hidden="false" customHeight="false" outlineLevel="0" collapsed="false">
      <c r="A15" s="23" t="s">
        <v>119</v>
      </c>
      <c r="B15" s="23" t="s">
        <v>107</v>
      </c>
      <c r="C15" s="24" t="s">
        <v>106</v>
      </c>
      <c r="D15" s="25" t="n">
        <v>175</v>
      </c>
      <c r="E15" s="25" t="n">
        <v>470</v>
      </c>
      <c r="G15" s="2" t="n">
        <v>300</v>
      </c>
      <c r="H15" s="26" t="n">
        <v>400</v>
      </c>
      <c r="I15" s="2" t="n">
        <v>580</v>
      </c>
      <c r="K15" s="27" t="n">
        <f aca="false">G15*8/6</f>
        <v>400</v>
      </c>
    </row>
    <row r="16" customFormat="false" ht="14.25" hidden="false" customHeight="false" outlineLevel="0" collapsed="false">
      <c r="A16" s="23" t="s">
        <v>126</v>
      </c>
      <c r="B16" s="23" t="s">
        <v>107</v>
      </c>
      <c r="C16" s="24" t="s">
        <v>106</v>
      </c>
      <c r="D16" s="25" t="n">
        <v>175</v>
      </c>
      <c r="E16" s="25" t="n">
        <v>470</v>
      </c>
      <c r="G16" s="2" t="n">
        <v>300</v>
      </c>
      <c r="H16" s="26" t="n">
        <v>400</v>
      </c>
      <c r="I16" s="2" t="n">
        <v>580</v>
      </c>
      <c r="K16" s="27" t="n">
        <f aca="false">G16*8/6</f>
        <v>400</v>
      </c>
    </row>
    <row r="17" customFormat="false" ht="14.25" hidden="false" customHeight="false" outlineLevel="0" collapsed="false">
      <c r="A17" s="23" t="s">
        <v>128</v>
      </c>
      <c r="B17" s="23" t="s">
        <v>107</v>
      </c>
      <c r="C17" s="24" t="s">
        <v>106</v>
      </c>
      <c r="D17" s="25" t="n">
        <v>175</v>
      </c>
      <c r="E17" s="25" t="n">
        <v>470</v>
      </c>
      <c r="G17" s="2" t="n">
        <v>300</v>
      </c>
      <c r="H17" s="26" t="n">
        <v>400</v>
      </c>
      <c r="I17" s="2" t="n">
        <v>580</v>
      </c>
      <c r="K17" s="27" t="n">
        <f aca="false">G17*8/6</f>
        <v>400</v>
      </c>
    </row>
    <row r="18" customFormat="false" ht="14.25" hidden="false" customHeight="false" outlineLevel="0" collapsed="false">
      <c r="A18" s="23" t="s">
        <v>129</v>
      </c>
      <c r="B18" s="23" t="s">
        <v>107</v>
      </c>
      <c r="C18" s="24" t="s">
        <v>106</v>
      </c>
      <c r="D18" s="25" t="n">
        <v>175</v>
      </c>
      <c r="E18" s="25" t="n">
        <v>470</v>
      </c>
      <c r="G18" s="2" t="n">
        <v>300</v>
      </c>
      <c r="H18" s="26" t="n">
        <v>400</v>
      </c>
      <c r="I18" s="2" t="n">
        <v>580</v>
      </c>
      <c r="K18" s="27" t="n">
        <f aca="false">G18*8/6</f>
        <v>400</v>
      </c>
    </row>
    <row r="19" customFormat="false" ht="14.25" hidden="false" customHeight="false" outlineLevel="0" collapsed="false">
      <c r="A19" s="23" t="s">
        <v>125</v>
      </c>
      <c r="B19" s="23" t="s">
        <v>107</v>
      </c>
      <c r="C19" s="24" t="s">
        <v>106</v>
      </c>
      <c r="D19" s="25" t="n">
        <v>200</v>
      </c>
      <c r="E19" s="25" t="n">
        <v>540</v>
      </c>
      <c r="G19" s="2" t="n">
        <v>350</v>
      </c>
      <c r="H19" s="26" t="n">
        <v>470</v>
      </c>
      <c r="I19" s="2" t="n">
        <v>680</v>
      </c>
      <c r="K19" s="27" t="n">
        <f aca="false">G19*8/6</f>
        <v>466.666666666667</v>
      </c>
    </row>
    <row r="20" customFormat="false" ht="14.25" hidden="false" customHeight="false" outlineLevel="0" collapsed="false">
      <c r="A20" s="23" t="s">
        <v>130</v>
      </c>
      <c r="B20" s="23" t="s">
        <v>107</v>
      </c>
      <c r="C20" s="24" t="s">
        <v>106</v>
      </c>
      <c r="D20" s="25" t="n">
        <v>200</v>
      </c>
      <c r="E20" s="25" t="n">
        <v>540</v>
      </c>
      <c r="G20" s="2" t="n">
        <v>350</v>
      </c>
      <c r="H20" s="26" t="n">
        <v>470</v>
      </c>
      <c r="I20" s="2" t="n">
        <v>680</v>
      </c>
      <c r="K20" s="27" t="n">
        <f aca="false">G20*8/6</f>
        <v>466.666666666667</v>
      </c>
    </row>
    <row r="21" customFormat="false" ht="14.25" hidden="false" customHeight="false" outlineLevel="0" collapsed="false">
      <c r="A21" s="23" t="s">
        <v>133</v>
      </c>
      <c r="B21" s="23" t="s">
        <v>107</v>
      </c>
      <c r="C21" s="24" t="s">
        <v>106</v>
      </c>
      <c r="D21" s="25" t="n">
        <v>200</v>
      </c>
      <c r="E21" s="25" t="n">
        <v>540</v>
      </c>
      <c r="G21" s="2" t="n">
        <v>350</v>
      </c>
      <c r="H21" s="26" t="n">
        <v>470</v>
      </c>
      <c r="I21" s="2" t="n">
        <v>680</v>
      </c>
      <c r="K21" s="27" t="n">
        <f aca="false">G21*8/6</f>
        <v>466.666666666667</v>
      </c>
    </row>
    <row r="22" customFormat="false" ht="14.25" hidden="false" customHeight="false" outlineLevel="0" collapsed="false">
      <c r="A22" s="23" t="s">
        <v>111</v>
      </c>
      <c r="B22" s="23" t="s">
        <v>107</v>
      </c>
      <c r="C22" s="24" t="s">
        <v>106</v>
      </c>
      <c r="D22" s="25" t="n">
        <v>225</v>
      </c>
      <c r="E22" s="25" t="n">
        <f aca="false">D22*8/3</f>
        <v>600</v>
      </c>
      <c r="G22" s="2" t="n">
        <v>400</v>
      </c>
      <c r="H22" s="26" t="n">
        <v>540</v>
      </c>
      <c r="I22" s="2" t="n">
        <v>780</v>
      </c>
      <c r="K22" s="27" t="n">
        <f aca="false">G22*8/6</f>
        <v>533.333333333333</v>
      </c>
    </row>
    <row r="23" customFormat="false" ht="14.25" hidden="false" customHeight="false" outlineLevel="0" collapsed="false">
      <c r="A23" s="23" t="s">
        <v>113</v>
      </c>
      <c r="B23" s="23" t="s">
        <v>107</v>
      </c>
      <c r="C23" s="24" t="s">
        <v>106</v>
      </c>
      <c r="D23" s="25" t="n">
        <v>225</v>
      </c>
      <c r="E23" s="25" t="n">
        <f aca="false">D23*8/3</f>
        <v>600</v>
      </c>
      <c r="G23" s="2" t="n">
        <v>400</v>
      </c>
      <c r="H23" s="26" t="n">
        <v>540</v>
      </c>
      <c r="I23" s="2" t="n">
        <v>780</v>
      </c>
      <c r="K23" s="27" t="n">
        <f aca="false">G23*8/6</f>
        <v>533.333333333333</v>
      </c>
    </row>
    <row r="24" customFormat="false" ht="14.25" hidden="false" customHeight="false" outlineLevel="0" collapsed="false">
      <c r="A24" s="23" t="s">
        <v>118</v>
      </c>
      <c r="B24" s="23" t="s">
        <v>107</v>
      </c>
      <c r="C24" s="24" t="s">
        <v>106</v>
      </c>
      <c r="D24" s="25" t="n">
        <v>225</v>
      </c>
      <c r="E24" s="25" t="n">
        <f aca="false">D24*8/3</f>
        <v>600</v>
      </c>
      <c r="G24" s="2" t="n">
        <v>400</v>
      </c>
      <c r="H24" s="26" t="n">
        <v>540</v>
      </c>
      <c r="I24" s="2" t="n">
        <v>780</v>
      </c>
      <c r="K24" s="27" t="n">
        <f aca="false">G24*8/6</f>
        <v>533.333333333333</v>
      </c>
    </row>
    <row r="25" customFormat="false" ht="14.25" hidden="false" customHeight="false" outlineLevel="0" collapsed="false">
      <c r="A25" s="23" t="s">
        <v>123</v>
      </c>
      <c r="B25" s="23" t="s">
        <v>107</v>
      </c>
      <c r="C25" s="24" t="s">
        <v>106</v>
      </c>
      <c r="D25" s="25" t="n">
        <v>225</v>
      </c>
      <c r="E25" s="25" t="n">
        <f aca="false">D25*8/3</f>
        <v>600</v>
      </c>
      <c r="G25" s="2" t="n">
        <v>400</v>
      </c>
      <c r="H25" s="26" t="n">
        <v>540</v>
      </c>
      <c r="I25" s="2" t="n">
        <v>780</v>
      </c>
      <c r="K25" s="27" t="n">
        <f aca="false">G25*8/6</f>
        <v>533.333333333333</v>
      </c>
    </row>
    <row r="26" customFormat="false" ht="14.25" hidden="false" customHeight="false" outlineLevel="0" collapsed="false">
      <c r="A26" s="23" t="s">
        <v>124</v>
      </c>
      <c r="B26" s="23" t="s">
        <v>107</v>
      </c>
      <c r="C26" s="24" t="s">
        <v>106</v>
      </c>
      <c r="D26" s="25" t="n">
        <v>225</v>
      </c>
      <c r="E26" s="25" t="n">
        <f aca="false">D26*8/3</f>
        <v>600</v>
      </c>
      <c r="G26" s="2" t="n">
        <v>400</v>
      </c>
      <c r="H26" s="26" t="n">
        <v>540</v>
      </c>
      <c r="I26" s="2" t="n">
        <v>780</v>
      </c>
      <c r="K26" s="27" t="n">
        <f aca="false">G26*8/6</f>
        <v>533.333333333333</v>
      </c>
    </row>
    <row r="27" customFormat="false" ht="14.25" hidden="false" customHeight="false" outlineLevel="0" collapsed="false">
      <c r="A27" s="23" t="s">
        <v>132</v>
      </c>
      <c r="B27" s="23" t="s">
        <v>107</v>
      </c>
      <c r="C27" s="24" t="s">
        <v>106</v>
      </c>
      <c r="D27" s="25" t="n">
        <v>225</v>
      </c>
      <c r="E27" s="25" t="n">
        <f aca="false">D27*8/3</f>
        <v>600</v>
      </c>
      <c r="G27" s="2" t="n">
        <v>400</v>
      </c>
      <c r="H27" s="26" t="n">
        <v>540</v>
      </c>
      <c r="I27" s="2" t="n">
        <v>780</v>
      </c>
      <c r="K27" s="27" t="n">
        <f aca="false">G27*8/6</f>
        <v>533.333333333333</v>
      </c>
    </row>
    <row r="28" customFormat="false" ht="14.25" hidden="false" customHeight="false" outlineLevel="0" collapsed="false">
      <c r="A28" s="23" t="s">
        <v>134</v>
      </c>
      <c r="B28" s="23" t="s">
        <v>107</v>
      </c>
      <c r="C28" s="24" t="s">
        <v>106</v>
      </c>
      <c r="D28" s="25" t="n">
        <v>225</v>
      </c>
      <c r="E28" s="25" t="n">
        <f aca="false">D28*8/3</f>
        <v>600</v>
      </c>
      <c r="G28" s="2" t="n">
        <v>400</v>
      </c>
      <c r="H28" s="26" t="n">
        <v>540</v>
      </c>
      <c r="I28" s="2" t="n">
        <v>780</v>
      </c>
      <c r="K28" s="27" t="n">
        <f aca="false">G28*8/6</f>
        <v>533.333333333333</v>
      </c>
    </row>
    <row r="29" customFormat="false" ht="14.25" hidden="false" customHeight="false" outlineLevel="0" collapsed="false">
      <c r="A29" s="23" t="s">
        <v>127</v>
      </c>
      <c r="B29" s="23" t="s">
        <v>107</v>
      </c>
      <c r="C29" s="24" t="s">
        <v>106</v>
      </c>
      <c r="D29" s="25" t="n">
        <v>250</v>
      </c>
      <c r="E29" s="25" t="n">
        <v>670</v>
      </c>
      <c r="G29" s="2" t="n">
        <v>450</v>
      </c>
      <c r="H29" s="26" t="n">
        <v>600</v>
      </c>
      <c r="I29" s="2" t="n">
        <v>880</v>
      </c>
      <c r="K29" s="27" t="n">
        <f aca="false">G29*8/6</f>
        <v>600</v>
      </c>
    </row>
    <row r="30" customFormat="false" ht="14.25" hidden="false" customHeight="false" outlineLevel="0" collapsed="false">
      <c r="A30" s="23" t="s">
        <v>136</v>
      </c>
      <c r="B30" s="23" t="s">
        <v>107</v>
      </c>
      <c r="C30" s="24" t="s">
        <v>106</v>
      </c>
      <c r="D30" s="25" t="n">
        <v>250</v>
      </c>
      <c r="E30" s="25" t="n">
        <v>670</v>
      </c>
      <c r="G30" s="2" t="n">
        <v>450</v>
      </c>
      <c r="H30" s="26" t="n">
        <v>600</v>
      </c>
      <c r="I30" s="2" t="n">
        <v>880</v>
      </c>
      <c r="K30" s="27" t="n">
        <f aca="false">G30*8/6</f>
        <v>600</v>
      </c>
    </row>
    <row r="31" customFormat="false" ht="14.25" hidden="false" customHeight="false" outlineLevel="0" collapsed="false">
      <c r="A31" s="23" t="s">
        <v>137</v>
      </c>
      <c r="B31" s="23" t="s">
        <v>107</v>
      </c>
      <c r="C31" s="24" t="s">
        <v>106</v>
      </c>
      <c r="D31" s="25" t="n">
        <v>250</v>
      </c>
      <c r="E31" s="25" t="n">
        <v>670</v>
      </c>
      <c r="G31" s="2" t="n">
        <v>450</v>
      </c>
      <c r="H31" s="26" t="n">
        <v>600</v>
      </c>
      <c r="I31" s="2" t="n">
        <v>880</v>
      </c>
      <c r="K31" s="27" t="n">
        <f aca="false">G31*8/6</f>
        <v>600</v>
      </c>
    </row>
    <row r="32" customFormat="false" ht="14.25" hidden="false" customHeight="false" outlineLevel="0" collapsed="false">
      <c r="A32" s="23" t="s">
        <v>138</v>
      </c>
      <c r="B32" s="23" t="s">
        <v>107</v>
      </c>
      <c r="C32" s="24" t="s">
        <v>106</v>
      </c>
      <c r="D32" s="25" t="n">
        <v>250</v>
      </c>
      <c r="E32" s="25" t="n">
        <v>670</v>
      </c>
      <c r="G32" s="2" t="n">
        <v>450</v>
      </c>
      <c r="H32" s="26" t="n">
        <v>600</v>
      </c>
      <c r="I32" s="2" t="n">
        <v>880</v>
      </c>
      <c r="K32" s="27" t="n">
        <f aca="false">G32*8/6</f>
        <v>600</v>
      </c>
    </row>
    <row r="33" customFormat="false" ht="14.25" hidden="false" customHeight="false" outlineLevel="0" collapsed="false">
      <c r="A33" s="23" t="s">
        <v>139</v>
      </c>
      <c r="B33" s="23" t="s">
        <v>107</v>
      </c>
      <c r="C33" s="24" t="s">
        <v>106</v>
      </c>
      <c r="D33" s="25" t="n">
        <v>250</v>
      </c>
      <c r="E33" s="25" t="n">
        <v>670</v>
      </c>
      <c r="G33" s="2" t="n">
        <v>450</v>
      </c>
      <c r="H33" s="26" t="n">
        <v>600</v>
      </c>
      <c r="I33" s="2" t="n">
        <v>880</v>
      </c>
      <c r="K33" s="27" t="n">
        <f aca="false">G33*8/6</f>
        <v>600</v>
      </c>
    </row>
    <row r="34" customFormat="false" ht="14.25" hidden="false" customHeight="false" outlineLevel="0" collapsed="false">
      <c r="A34" s="23" t="s">
        <v>112</v>
      </c>
      <c r="B34" s="23" t="s">
        <v>107</v>
      </c>
      <c r="C34" s="24" t="s">
        <v>106</v>
      </c>
      <c r="D34" s="25" t="n">
        <v>500</v>
      </c>
      <c r="E34" s="25" t="n">
        <v>1340</v>
      </c>
      <c r="G34" s="28" t="n">
        <v>500</v>
      </c>
      <c r="H34" s="26" t="n">
        <v>670</v>
      </c>
      <c r="I34" s="28" t="n">
        <v>1000</v>
      </c>
      <c r="K34" s="27" t="n">
        <f aca="false">G34*8/6</f>
        <v>666.666666666667</v>
      </c>
    </row>
    <row r="35" customFormat="false" ht="14.25" hidden="false" customHeight="false" outlineLevel="0" collapsed="false">
      <c r="A35" s="23" t="s">
        <v>135</v>
      </c>
      <c r="B35" s="23" t="s">
        <v>107</v>
      </c>
      <c r="C35" s="24" t="s">
        <v>106</v>
      </c>
      <c r="D35" s="25" t="n">
        <v>312.5</v>
      </c>
      <c r="E35" s="25" t="n">
        <v>840</v>
      </c>
      <c r="G35" s="2" t="n">
        <v>350</v>
      </c>
      <c r="H35" s="26" t="n">
        <v>470</v>
      </c>
      <c r="I35" s="2" t="n">
        <v>1080</v>
      </c>
      <c r="K35" s="27" t="n">
        <f aca="false">G35*8/6</f>
        <v>466.666666666667</v>
      </c>
    </row>
    <row r="36" customFormat="false" ht="14.25" hidden="false" customHeight="false" outlineLevel="0" collapsed="false">
      <c r="A36" s="23" t="s">
        <v>141</v>
      </c>
      <c r="B36" s="23" t="s">
        <v>107</v>
      </c>
      <c r="C36" s="24" t="s">
        <v>106</v>
      </c>
      <c r="D36" s="25" t="n">
        <v>325</v>
      </c>
      <c r="E36" s="25" t="n">
        <v>870</v>
      </c>
      <c r="G36" s="2" t="n">
        <v>600</v>
      </c>
      <c r="H36" s="26" t="n">
        <v>800</v>
      </c>
      <c r="I36" s="2" t="n">
        <v>1180</v>
      </c>
      <c r="K36" s="27" t="n">
        <f aca="false">G36*8/6</f>
        <v>800</v>
      </c>
    </row>
  </sheetData>
  <autoFilter ref="A1:E1">
    <sortState ref="A2:E1">
      <sortCondition ref="A2:A1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.27"/>
    <col collapsed="false" customWidth="true" hidden="false" outlineLevel="0" max="3" min="3" style="1" width="8.82"/>
    <col collapsed="false" customWidth="true" hidden="false" outlineLevel="0" max="4" min="4" style="1" width="21.73"/>
    <col collapsed="false" customWidth="true" hidden="false" outlineLevel="0" max="5" min="5" style="1" width="14.18"/>
    <col collapsed="false" customWidth="true" hidden="false" outlineLevel="0" max="6" min="6" style="1" width="12"/>
    <col collapsed="false" customWidth="true" hidden="false" outlineLevel="0" max="7" min="7" style="1" width="14.18"/>
    <col collapsed="false" customWidth="true" hidden="false" outlineLevel="0" max="8" min="8" style="1" width="17.27"/>
    <col collapsed="false" customWidth="true" hidden="false" outlineLevel="0" max="9" min="9" style="1" width="16.18"/>
    <col collapsed="false" customWidth="true" hidden="false" outlineLevel="0" max="10" min="10" style="1" width="15.27"/>
    <col collapsed="false" customWidth="true" hidden="false" outlineLevel="0" max="11" min="11" style="1" width="16"/>
    <col collapsed="false" customWidth="true" hidden="false" outlineLevel="0" max="12" min="12" style="1" width="8.45"/>
    <col collapsed="false" customWidth="true" hidden="false" outlineLevel="0" max="13" min="13" style="1" width="17"/>
    <col collapsed="false" customWidth="true" hidden="false" outlineLevel="0" max="14" min="14" style="1" width="19.18"/>
    <col collapsed="false" customWidth="true" hidden="false" outlineLevel="0" max="15" min="15" style="1" width="21.18"/>
    <col collapsed="false" customWidth="true" hidden="false" outlineLevel="0" max="16" min="16" style="1" width="11.18"/>
    <col collapsed="false" customWidth="true" hidden="false" outlineLevel="0" max="17" min="17" style="1" width="19"/>
    <col collapsed="false" customWidth="true" hidden="false" outlineLevel="0" max="18" min="18" style="1" width="16.73"/>
    <col collapsed="false" customWidth="true" hidden="false" outlineLevel="0" max="19" min="19" style="1" width="13.18"/>
    <col collapsed="false" customWidth="true" hidden="false" outlineLevel="0" max="20" min="20" style="1" width="12.27"/>
    <col collapsed="false" customWidth="true" hidden="false" outlineLevel="0" max="21" min="21" style="1" width="16"/>
    <col collapsed="false" customWidth="true" hidden="false" outlineLevel="0" max="22" min="22" style="1" width="24.73"/>
    <col collapsed="false" customWidth="true" hidden="false" outlineLevel="0" max="23" min="23" style="1" width="13.45"/>
    <col collapsed="false" customWidth="true" hidden="false" outlineLevel="0" max="24" min="24" style="1" width="10.45"/>
    <col collapsed="false" customWidth="true" hidden="false" outlineLevel="0" max="25" min="25" style="1" width="12.73"/>
    <col collapsed="false" customWidth="true" hidden="false" outlineLevel="0" max="26" min="26" style="1" width="15.54"/>
    <col collapsed="false" customWidth="true" hidden="false" outlineLevel="0" max="27" min="27" style="1" width="14.45"/>
    <col collapsed="false" customWidth="true" hidden="false" outlineLevel="0" max="28" min="28" style="1" width="6.82"/>
    <col collapsed="false" customWidth="true" hidden="false" outlineLevel="0" max="29" min="29" style="1" width="16.45"/>
    <col collapsed="false" customWidth="true" hidden="false" outlineLevel="0" max="30" min="30" style="1" width="15"/>
    <col collapsed="false" customWidth="true" hidden="false" outlineLevel="0" max="31" min="31" style="1" width="20.45"/>
    <col collapsed="false" customWidth="true" hidden="false" outlineLevel="0" max="32" min="32" style="1" width="13.73"/>
    <col collapsed="false" customWidth="true" hidden="false" outlineLevel="0" max="33" min="33" style="1" width="15.45"/>
    <col collapsed="false" customWidth="true" hidden="false" outlineLevel="0" max="34" min="34" style="1" width="17.54"/>
    <col collapsed="false" customWidth="true" hidden="false" outlineLevel="0" max="35" min="35" style="1" width="18.82"/>
    <col collapsed="false" customWidth="true" hidden="false" outlineLevel="0" max="36" min="36" style="1" width="10.27"/>
    <col collapsed="false" customWidth="true" hidden="false" outlineLevel="0" max="37" min="37" style="1" width="7.27"/>
    <col collapsed="false" customWidth="true" hidden="false" outlineLevel="0" max="38" min="38" style="1" width="11.27"/>
    <col collapsed="false" customWidth="true" hidden="false" outlineLevel="0" max="39" min="39" style="1" width="17.82"/>
    <col collapsed="false" customWidth="true" hidden="false" outlineLevel="0" max="40" min="40" style="1" width="21"/>
    <col collapsed="false" customWidth="true" hidden="false" outlineLevel="0" max="41" min="41" style="1" width="26.54"/>
    <col collapsed="false" customWidth="true" hidden="false" outlineLevel="0" max="42" min="42" style="1" width="29.82"/>
    <col collapsed="false" customWidth="true" hidden="false" outlineLevel="0" max="43" min="43" style="1" width="15.27"/>
    <col collapsed="false" customWidth="true" hidden="false" outlineLevel="0" max="44" min="44" style="1" width="18.45"/>
    <col collapsed="false" customWidth="true" hidden="false" outlineLevel="0" max="45" min="45" style="1" width="12.27"/>
    <col collapsed="false" customWidth="true" hidden="false" outlineLevel="0" max="46" min="46" style="1" width="15.45"/>
    <col collapsed="false" customWidth="true" hidden="false" outlineLevel="0" max="47" min="47" style="1" width="14.54"/>
    <col collapsed="false" customWidth="true" hidden="false" outlineLevel="0" max="48" min="48" style="1" width="17.82"/>
    <col collapsed="false" customWidth="true" hidden="false" outlineLevel="0" max="49" min="49" style="1" width="17.45"/>
    <col collapsed="false" customWidth="true" hidden="false" outlineLevel="0" max="50" min="50" style="1" width="20.54"/>
    <col collapsed="false" customWidth="true" hidden="false" outlineLevel="0" max="51" min="51" style="1" width="16.27"/>
    <col collapsed="false" customWidth="true" hidden="false" outlineLevel="0" max="52" min="52" style="1" width="19.45"/>
    <col collapsed="false" customWidth="true" hidden="false" outlineLevel="0" max="53" min="53" style="1" width="8.73"/>
    <col collapsed="false" customWidth="true" hidden="false" outlineLevel="0" max="54" min="54" style="1" width="11.73"/>
    <col collapsed="false" customWidth="true" hidden="false" outlineLevel="0" max="55" min="55" style="1" width="18.27"/>
    <col collapsed="false" customWidth="true" hidden="false" outlineLevel="0" max="56" min="56" style="1" width="21.54"/>
    <col collapsed="false" customWidth="true" hidden="false" outlineLevel="0" max="57" min="57" style="1" width="16.82"/>
    <col collapsed="false" customWidth="true" hidden="false" outlineLevel="0" max="58" min="58" style="1" width="20"/>
    <col collapsed="false" customWidth="true" hidden="false" outlineLevel="0" max="59" min="59" style="1" width="22.27"/>
    <col collapsed="false" customWidth="true" hidden="false" outlineLevel="0" max="60" min="60" style="1" width="25.54"/>
    <col collapsed="false" customWidth="true" hidden="false" outlineLevel="0" max="61" min="61" style="1" width="15.54"/>
    <col collapsed="false" customWidth="true" hidden="false" outlineLevel="0" max="62" min="62" style="1" width="18.73"/>
    <col collapsed="false" customWidth="true" hidden="false" outlineLevel="0" max="63" min="63" style="1" width="17.27"/>
    <col collapsed="false" customWidth="true" hidden="false" outlineLevel="0" max="64" min="64" style="1" width="20.45"/>
    <col collapsed="false" customWidth="true" hidden="false" outlineLevel="0" max="65" min="65" style="1" width="19.45"/>
    <col collapsed="false" customWidth="true" hidden="false" outlineLevel="0" max="66" min="66" style="1" width="22.54"/>
    <col collapsed="false" customWidth="true" hidden="false" outlineLevel="0" max="67" min="67" style="1" width="20.73"/>
    <col collapsed="false" customWidth="true" hidden="false" outlineLevel="0" max="68" min="68" style="1" width="23.82"/>
    <col collapsed="false" customWidth="true" hidden="false" outlineLevel="0" max="69" min="69" style="1" width="12.18"/>
    <col collapsed="false" customWidth="true" hidden="false" outlineLevel="0" max="70" min="70" style="1" width="15.27"/>
    <col collapsed="false" customWidth="true" hidden="false" outlineLevel="0" max="72" min="72" style="1" width="12.18"/>
    <col collapsed="false" customWidth="true" hidden="false" outlineLevel="0" max="73" min="73" style="1" width="11.27"/>
  </cols>
  <sheetData>
    <row r="3" customFormat="false" ht="14.25" hidden="false" customHeight="false" outlineLevel="0" collapsed="false">
      <c r="A3" s="29" t="s">
        <v>267</v>
      </c>
      <c r="B3" s="30" t="s">
        <v>268</v>
      </c>
    </row>
    <row r="4" customFormat="false" ht="14.25" hidden="false" customHeight="false" outlineLevel="0" collapsed="false">
      <c r="A4" s="31" t="n">
        <v>280</v>
      </c>
      <c r="B4" s="32"/>
    </row>
    <row r="5" customFormat="false" ht="14.25" hidden="false" customHeight="false" outlineLevel="0" collapsed="false">
      <c r="A5" s="33" t="s">
        <v>105</v>
      </c>
      <c r="B5" s="34"/>
    </row>
    <row r="6" customFormat="false" ht="14.25" hidden="false" customHeight="false" outlineLevel="0" collapsed="false">
      <c r="A6" s="31" t="n">
        <v>380</v>
      </c>
      <c r="B6" s="32"/>
    </row>
    <row r="7" customFormat="false" ht="14.25" hidden="false" customHeight="false" outlineLevel="0" collapsed="false">
      <c r="A7" s="35" t="s">
        <v>110</v>
      </c>
      <c r="B7" s="36"/>
    </row>
    <row r="8" customFormat="false" ht="14.25" hidden="false" customHeight="false" outlineLevel="0" collapsed="false">
      <c r="A8" s="35" t="s">
        <v>109</v>
      </c>
      <c r="B8" s="36"/>
    </row>
    <row r="9" customFormat="false" ht="14.25" hidden="false" customHeight="false" outlineLevel="0" collapsed="false">
      <c r="A9" s="35" t="s">
        <v>122</v>
      </c>
      <c r="B9" s="36"/>
    </row>
    <row r="10" customFormat="false" ht="14.25" hidden="false" customHeight="false" outlineLevel="0" collapsed="false">
      <c r="A10" s="35" t="s">
        <v>121</v>
      </c>
      <c r="B10" s="36"/>
    </row>
    <row r="11" customFormat="false" ht="14.25" hidden="false" customHeight="false" outlineLevel="0" collapsed="false">
      <c r="A11" s="33" t="s">
        <v>108</v>
      </c>
      <c r="B11" s="34"/>
    </row>
    <row r="12" customFormat="false" ht="14.25" hidden="false" customHeight="false" outlineLevel="0" collapsed="false">
      <c r="A12" s="31" t="n">
        <v>480</v>
      </c>
      <c r="B12" s="32"/>
    </row>
    <row r="13" customFormat="false" ht="14.25" hidden="false" customHeight="false" outlineLevel="0" collapsed="false">
      <c r="A13" s="35" t="s">
        <v>117</v>
      </c>
      <c r="B13" s="36"/>
    </row>
    <row r="14" customFormat="false" ht="14.25" hidden="false" customHeight="false" outlineLevel="0" collapsed="false">
      <c r="A14" s="35" t="s">
        <v>120</v>
      </c>
      <c r="B14" s="36"/>
    </row>
    <row r="15" customFormat="false" ht="14.25" hidden="false" customHeight="false" outlineLevel="0" collapsed="false">
      <c r="A15" s="35" t="s">
        <v>114</v>
      </c>
      <c r="B15" s="36"/>
    </row>
    <row r="16" customFormat="false" ht="14.25" hidden="false" customHeight="false" outlineLevel="0" collapsed="false">
      <c r="A16" s="35" t="s">
        <v>116</v>
      </c>
      <c r="B16" s="36"/>
    </row>
    <row r="17" customFormat="false" ht="14.25" hidden="false" customHeight="false" outlineLevel="0" collapsed="false">
      <c r="A17" s="33" t="s">
        <v>131</v>
      </c>
      <c r="B17" s="34"/>
    </row>
    <row r="18" customFormat="false" ht="14.25" hidden="false" customHeight="false" outlineLevel="0" collapsed="false">
      <c r="A18" s="31" t="n">
        <v>580</v>
      </c>
      <c r="B18" s="32"/>
    </row>
    <row r="19" customFormat="false" ht="14.25" hidden="false" customHeight="false" outlineLevel="0" collapsed="false">
      <c r="A19" s="35" t="s">
        <v>128</v>
      </c>
      <c r="B19" s="36"/>
    </row>
    <row r="20" customFormat="false" ht="14.25" hidden="false" customHeight="false" outlineLevel="0" collapsed="false">
      <c r="A20" s="35" t="s">
        <v>119</v>
      </c>
      <c r="B20" s="36"/>
    </row>
    <row r="21" customFormat="false" ht="14.25" hidden="false" customHeight="false" outlineLevel="0" collapsed="false">
      <c r="A21" s="35" t="s">
        <v>126</v>
      </c>
      <c r="B21" s="36"/>
    </row>
    <row r="22" customFormat="false" ht="14.25" hidden="false" customHeight="false" outlineLevel="0" collapsed="false">
      <c r="A22" s="35" t="s">
        <v>115</v>
      </c>
      <c r="B22" s="36"/>
    </row>
    <row r="23" customFormat="false" ht="14.25" hidden="false" customHeight="false" outlineLevel="0" collapsed="false">
      <c r="A23" s="35" t="s">
        <v>40</v>
      </c>
      <c r="B23" s="36"/>
    </row>
    <row r="24" customFormat="false" ht="14.25" hidden="false" customHeight="false" outlineLevel="0" collapsed="false">
      <c r="A24" s="33" t="s">
        <v>129</v>
      </c>
      <c r="B24" s="34"/>
    </row>
    <row r="25" customFormat="false" ht="14.25" hidden="false" customHeight="false" outlineLevel="0" collapsed="false">
      <c r="A25" s="31" t="n">
        <v>680</v>
      </c>
      <c r="B25" s="32"/>
    </row>
    <row r="26" customFormat="false" ht="14.25" hidden="false" customHeight="false" outlineLevel="0" collapsed="false">
      <c r="A26" s="35" t="s">
        <v>133</v>
      </c>
      <c r="B26" s="36"/>
    </row>
    <row r="27" customFormat="false" ht="14.25" hidden="false" customHeight="false" outlineLevel="0" collapsed="false">
      <c r="A27" s="35" t="s">
        <v>125</v>
      </c>
      <c r="B27" s="36"/>
    </row>
    <row r="28" customFormat="false" ht="14.25" hidden="false" customHeight="false" outlineLevel="0" collapsed="false">
      <c r="A28" s="33" t="s">
        <v>130</v>
      </c>
      <c r="B28" s="34"/>
    </row>
    <row r="29" customFormat="false" ht="14.25" hidden="false" customHeight="false" outlineLevel="0" collapsed="false">
      <c r="A29" s="31" t="n">
        <v>780</v>
      </c>
      <c r="B29" s="32"/>
    </row>
    <row r="30" customFormat="false" ht="14.25" hidden="false" customHeight="false" outlineLevel="0" collapsed="false">
      <c r="A30" s="35" t="s">
        <v>132</v>
      </c>
      <c r="B30" s="36"/>
    </row>
    <row r="31" customFormat="false" ht="14.25" hidden="false" customHeight="false" outlineLevel="0" collapsed="false">
      <c r="A31" s="35" t="s">
        <v>111</v>
      </c>
      <c r="B31" s="36"/>
    </row>
    <row r="32" customFormat="false" ht="14.25" hidden="false" customHeight="false" outlineLevel="0" collapsed="false">
      <c r="A32" s="35" t="s">
        <v>134</v>
      </c>
      <c r="B32" s="36"/>
    </row>
    <row r="33" customFormat="false" ht="14.25" hidden="false" customHeight="false" outlineLevel="0" collapsed="false">
      <c r="A33" s="35" t="s">
        <v>123</v>
      </c>
      <c r="B33" s="36"/>
    </row>
    <row r="34" customFormat="false" ht="14.25" hidden="false" customHeight="false" outlineLevel="0" collapsed="false">
      <c r="A34" s="35" t="s">
        <v>124</v>
      </c>
      <c r="B34" s="36"/>
    </row>
    <row r="35" customFormat="false" ht="14.25" hidden="false" customHeight="false" outlineLevel="0" collapsed="false">
      <c r="A35" s="35" t="s">
        <v>113</v>
      </c>
      <c r="B35" s="36"/>
    </row>
    <row r="36" customFormat="false" ht="14.25" hidden="false" customHeight="false" outlineLevel="0" collapsed="false">
      <c r="A36" s="33" t="s">
        <v>118</v>
      </c>
      <c r="B36" s="34"/>
    </row>
    <row r="37" customFormat="false" ht="14.25" hidden="false" customHeight="false" outlineLevel="0" collapsed="false">
      <c r="A37" s="31" t="n">
        <v>880</v>
      </c>
      <c r="B37" s="32"/>
    </row>
    <row r="38" customFormat="false" ht="14.25" hidden="false" customHeight="false" outlineLevel="0" collapsed="false">
      <c r="A38" s="35" t="s">
        <v>127</v>
      </c>
      <c r="B38" s="36"/>
    </row>
    <row r="39" customFormat="false" ht="14.25" hidden="false" customHeight="false" outlineLevel="0" collapsed="false">
      <c r="A39" s="35" t="s">
        <v>137</v>
      </c>
      <c r="B39" s="36"/>
    </row>
    <row r="40" customFormat="false" ht="14.25" hidden="false" customHeight="false" outlineLevel="0" collapsed="false">
      <c r="A40" s="35" t="s">
        <v>138</v>
      </c>
      <c r="B40" s="36"/>
    </row>
    <row r="41" customFormat="false" ht="14.25" hidden="false" customHeight="false" outlineLevel="0" collapsed="false">
      <c r="A41" s="35" t="s">
        <v>136</v>
      </c>
      <c r="B41" s="36"/>
    </row>
    <row r="42" customFormat="false" ht="14.25" hidden="false" customHeight="false" outlineLevel="0" collapsed="false">
      <c r="A42" s="33" t="s">
        <v>139</v>
      </c>
      <c r="B42" s="34"/>
    </row>
    <row r="43" customFormat="false" ht="14.25" hidden="false" customHeight="false" outlineLevel="0" collapsed="false">
      <c r="A43" s="31" t="n">
        <v>1000</v>
      </c>
      <c r="B43" s="32"/>
    </row>
    <row r="44" customFormat="false" ht="14.25" hidden="false" customHeight="false" outlineLevel="0" collapsed="false">
      <c r="A44" s="33" t="s">
        <v>112</v>
      </c>
      <c r="B44" s="34"/>
    </row>
    <row r="45" customFormat="false" ht="14.25" hidden="false" customHeight="false" outlineLevel="0" collapsed="false">
      <c r="A45" s="31" t="n">
        <v>1080</v>
      </c>
      <c r="B45" s="32"/>
    </row>
    <row r="46" customFormat="false" ht="14.25" hidden="false" customHeight="false" outlineLevel="0" collapsed="false">
      <c r="A46" s="33" t="s">
        <v>135</v>
      </c>
      <c r="B46" s="34"/>
    </row>
    <row r="47" customFormat="false" ht="14.25" hidden="false" customHeight="false" outlineLevel="0" collapsed="false">
      <c r="A47" s="31" t="n">
        <v>1180</v>
      </c>
      <c r="B47" s="32"/>
    </row>
    <row r="48" customFormat="false" ht="14.25" hidden="false" customHeight="false" outlineLevel="0" collapsed="false">
      <c r="A48" s="33" t="s">
        <v>141</v>
      </c>
      <c r="B48" s="34"/>
    </row>
    <row r="49" customFormat="false" ht="14.25" hidden="false" customHeight="false" outlineLevel="0" collapsed="false">
      <c r="A49" s="31" t="s">
        <v>268</v>
      </c>
      <c r="B49" s="32"/>
    </row>
    <row r="50" customFormat="false" ht="14.25" hidden="false" customHeight="false" outlineLevel="0" collapsed="false">
      <c r="A50" s="33" t="s">
        <v>268</v>
      </c>
      <c r="B50" s="34"/>
    </row>
    <row r="51" customFormat="false" ht="14.25" hidden="false" customHeight="false" outlineLevel="0" collapsed="false">
      <c r="A51" s="37" t="s">
        <v>269</v>
      </c>
      <c r="B51" s="3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C2" activeCellId="0" sqref="C2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24.18"/>
  </cols>
  <sheetData>
    <row r="1" customFormat="false" ht="61.9" hidden="false" customHeight="false" outlineLevel="0" collapsed="false">
      <c r="A1" s="21" t="s">
        <v>1</v>
      </c>
      <c r="B1" s="21" t="s">
        <v>4</v>
      </c>
      <c r="C1" s="22" t="s">
        <v>265</v>
      </c>
      <c r="D1" s="22" t="s">
        <v>104</v>
      </c>
      <c r="E1" s="22" t="s">
        <v>266</v>
      </c>
    </row>
    <row r="2" customFormat="false" ht="14.25" hidden="false" customHeight="false" outlineLevel="0" collapsed="false">
      <c r="A2" s="23" t="s">
        <v>105</v>
      </c>
      <c r="B2" s="23" t="s">
        <v>107</v>
      </c>
      <c r="C2" s="8" t="n">
        <v>150</v>
      </c>
      <c r="D2" s="15" t="n">
        <v>200</v>
      </c>
      <c r="E2" s="8" t="n">
        <v>280</v>
      </c>
    </row>
    <row r="3" customFormat="false" ht="14.25" hidden="false" customHeight="false" outlineLevel="0" collapsed="false">
      <c r="A3" s="23" t="s">
        <v>108</v>
      </c>
      <c r="B3" s="23" t="s">
        <v>107</v>
      </c>
      <c r="C3" s="8" t="n">
        <v>200</v>
      </c>
      <c r="D3" s="15" t="n">
        <v>270</v>
      </c>
      <c r="E3" s="8" t="n">
        <v>380</v>
      </c>
    </row>
    <row r="4" customFormat="false" ht="14.25" hidden="false" customHeight="false" outlineLevel="0" collapsed="false">
      <c r="A4" s="23" t="s">
        <v>121</v>
      </c>
      <c r="B4" s="23" t="s">
        <v>107</v>
      </c>
      <c r="C4" s="8" t="n">
        <v>200</v>
      </c>
      <c r="D4" s="15" t="n">
        <v>270</v>
      </c>
      <c r="E4" s="8" t="n">
        <v>380</v>
      </c>
    </row>
    <row r="5" customFormat="false" ht="14.25" hidden="false" customHeight="false" outlineLevel="0" collapsed="false">
      <c r="A5" s="23" t="s">
        <v>122</v>
      </c>
      <c r="B5" s="23" t="s">
        <v>107</v>
      </c>
      <c r="C5" s="8" t="n">
        <v>200</v>
      </c>
      <c r="D5" s="15" t="n">
        <v>270</v>
      </c>
      <c r="E5" s="8" t="n">
        <v>380</v>
      </c>
    </row>
    <row r="6" customFormat="false" ht="14.25" hidden="false" customHeight="false" outlineLevel="0" collapsed="false">
      <c r="A6" s="23" t="s">
        <v>109</v>
      </c>
      <c r="B6" s="23" t="s">
        <v>107</v>
      </c>
      <c r="C6" s="8" t="n">
        <v>200</v>
      </c>
      <c r="D6" s="15" t="n">
        <v>270</v>
      </c>
      <c r="E6" s="8" t="n">
        <v>380</v>
      </c>
    </row>
    <row r="7" customFormat="false" ht="14.25" hidden="false" customHeight="false" outlineLevel="0" collapsed="false">
      <c r="A7" s="23" t="s">
        <v>110</v>
      </c>
      <c r="B7" s="23" t="s">
        <v>107</v>
      </c>
      <c r="C7" s="8" t="n">
        <v>200</v>
      </c>
      <c r="D7" s="15" t="n">
        <v>270</v>
      </c>
      <c r="E7" s="8" t="n">
        <v>380</v>
      </c>
    </row>
    <row r="8" customFormat="false" ht="14.25" hidden="false" customHeight="false" outlineLevel="0" collapsed="false">
      <c r="A8" s="23" t="s">
        <v>114</v>
      </c>
      <c r="B8" s="23" t="s">
        <v>107</v>
      </c>
      <c r="C8" s="8" t="n">
        <v>250</v>
      </c>
      <c r="D8" s="15" t="n">
        <v>340</v>
      </c>
      <c r="E8" s="8" t="n">
        <v>480</v>
      </c>
    </row>
    <row r="9" customFormat="false" ht="14.25" hidden="false" customHeight="false" outlineLevel="0" collapsed="false">
      <c r="A9" s="23" t="s">
        <v>117</v>
      </c>
      <c r="B9" s="23" t="s">
        <v>107</v>
      </c>
      <c r="C9" s="8" t="n">
        <v>250</v>
      </c>
      <c r="D9" s="15" t="n">
        <v>340</v>
      </c>
      <c r="E9" s="8" t="n">
        <v>480</v>
      </c>
    </row>
    <row r="10" customFormat="false" ht="14.25" hidden="false" customHeight="false" outlineLevel="0" collapsed="false">
      <c r="A10" s="23" t="s">
        <v>131</v>
      </c>
      <c r="B10" s="23" t="s">
        <v>107</v>
      </c>
      <c r="C10" s="8" t="n">
        <v>250</v>
      </c>
      <c r="D10" s="15" t="n">
        <v>340</v>
      </c>
      <c r="E10" s="8" t="n">
        <v>480</v>
      </c>
    </row>
    <row r="11" customFormat="false" ht="14.25" hidden="false" customHeight="false" outlineLevel="0" collapsed="false">
      <c r="A11" s="23" t="s">
        <v>116</v>
      </c>
      <c r="B11" s="23" t="s">
        <v>107</v>
      </c>
      <c r="C11" s="8" t="n">
        <v>250</v>
      </c>
      <c r="D11" s="15" t="n">
        <v>340</v>
      </c>
      <c r="E11" s="8" t="n">
        <v>480</v>
      </c>
    </row>
    <row r="12" customFormat="false" ht="14.25" hidden="false" customHeight="false" outlineLevel="0" collapsed="false">
      <c r="A12" s="23" t="s">
        <v>120</v>
      </c>
      <c r="B12" s="23" t="s">
        <v>107</v>
      </c>
      <c r="C12" s="8" t="n">
        <v>250</v>
      </c>
      <c r="D12" s="15" t="n">
        <v>340</v>
      </c>
      <c r="E12" s="8" t="n">
        <v>480</v>
      </c>
    </row>
    <row r="13" customFormat="false" ht="14.25" hidden="false" customHeight="false" outlineLevel="0" collapsed="false">
      <c r="A13" s="23" t="s">
        <v>40</v>
      </c>
      <c r="B13" s="23" t="s">
        <v>107</v>
      </c>
      <c r="C13" s="8" t="n">
        <v>300</v>
      </c>
      <c r="D13" s="15" t="n">
        <v>400</v>
      </c>
      <c r="E13" s="8" t="n">
        <v>580</v>
      </c>
    </row>
    <row r="14" customFormat="false" ht="14.25" hidden="false" customHeight="false" outlineLevel="0" collapsed="false">
      <c r="A14" s="23" t="s">
        <v>115</v>
      </c>
      <c r="B14" s="23" t="s">
        <v>107</v>
      </c>
      <c r="C14" s="8" t="n">
        <v>300</v>
      </c>
      <c r="D14" s="15" t="n">
        <v>400</v>
      </c>
      <c r="E14" s="8" t="n">
        <v>580</v>
      </c>
    </row>
    <row r="15" customFormat="false" ht="14.25" hidden="false" customHeight="false" outlineLevel="0" collapsed="false">
      <c r="A15" s="23" t="s">
        <v>119</v>
      </c>
      <c r="B15" s="23" t="s">
        <v>107</v>
      </c>
      <c r="C15" s="8" t="n">
        <v>300</v>
      </c>
      <c r="D15" s="15" t="n">
        <v>400</v>
      </c>
      <c r="E15" s="8" t="n">
        <v>580</v>
      </c>
    </row>
    <row r="16" customFormat="false" ht="14.25" hidden="false" customHeight="false" outlineLevel="0" collapsed="false">
      <c r="A16" s="23" t="s">
        <v>126</v>
      </c>
      <c r="B16" s="23" t="s">
        <v>107</v>
      </c>
      <c r="C16" s="8" t="n">
        <v>300</v>
      </c>
      <c r="D16" s="15" t="n">
        <v>400</v>
      </c>
      <c r="E16" s="8" t="n">
        <v>580</v>
      </c>
    </row>
    <row r="17" customFormat="false" ht="14.25" hidden="false" customHeight="false" outlineLevel="0" collapsed="false">
      <c r="A17" s="23" t="s">
        <v>128</v>
      </c>
      <c r="B17" s="23" t="s">
        <v>107</v>
      </c>
      <c r="C17" s="8" t="n">
        <v>300</v>
      </c>
      <c r="D17" s="15" t="n">
        <v>400</v>
      </c>
      <c r="E17" s="8" t="n">
        <v>580</v>
      </c>
    </row>
    <row r="18" customFormat="false" ht="14.25" hidden="false" customHeight="false" outlineLevel="0" collapsed="false">
      <c r="A18" s="23" t="s">
        <v>129</v>
      </c>
      <c r="B18" s="23" t="s">
        <v>107</v>
      </c>
      <c r="C18" s="8" t="n">
        <v>300</v>
      </c>
      <c r="D18" s="15" t="n">
        <v>400</v>
      </c>
      <c r="E18" s="8" t="n">
        <v>580</v>
      </c>
    </row>
    <row r="19" customFormat="false" ht="14.25" hidden="false" customHeight="false" outlineLevel="0" collapsed="false">
      <c r="A19" s="23" t="s">
        <v>125</v>
      </c>
      <c r="B19" s="23" t="s">
        <v>107</v>
      </c>
      <c r="C19" s="8" t="n">
        <v>350</v>
      </c>
      <c r="D19" s="15" t="n">
        <v>470</v>
      </c>
      <c r="E19" s="8" t="n">
        <v>680</v>
      </c>
    </row>
    <row r="20" customFormat="false" ht="14.25" hidden="false" customHeight="false" outlineLevel="0" collapsed="false">
      <c r="A20" s="23" t="s">
        <v>130</v>
      </c>
      <c r="B20" s="23" t="s">
        <v>107</v>
      </c>
      <c r="C20" s="8" t="n">
        <v>350</v>
      </c>
      <c r="D20" s="15" t="n">
        <v>470</v>
      </c>
      <c r="E20" s="8" t="n">
        <v>680</v>
      </c>
    </row>
    <row r="21" customFormat="false" ht="14.25" hidden="false" customHeight="false" outlineLevel="0" collapsed="false">
      <c r="A21" s="23" t="s">
        <v>133</v>
      </c>
      <c r="B21" s="23" t="s">
        <v>107</v>
      </c>
      <c r="C21" s="8" t="n">
        <v>350</v>
      </c>
      <c r="D21" s="15" t="n">
        <v>470</v>
      </c>
      <c r="E21" s="8" t="n">
        <v>680</v>
      </c>
    </row>
    <row r="22" customFormat="false" ht="14.25" hidden="false" customHeight="false" outlineLevel="0" collapsed="false">
      <c r="A22" s="23" t="s">
        <v>111</v>
      </c>
      <c r="B22" s="23" t="s">
        <v>107</v>
      </c>
      <c r="C22" s="8" t="n">
        <v>400</v>
      </c>
      <c r="D22" s="15" t="n">
        <v>540</v>
      </c>
      <c r="E22" s="8" t="n">
        <v>780</v>
      </c>
    </row>
    <row r="23" customFormat="false" ht="14.25" hidden="false" customHeight="false" outlineLevel="0" collapsed="false">
      <c r="A23" s="23" t="s">
        <v>113</v>
      </c>
      <c r="B23" s="23" t="s">
        <v>107</v>
      </c>
      <c r="C23" s="8" t="n">
        <v>400</v>
      </c>
      <c r="D23" s="15" t="n">
        <v>540</v>
      </c>
      <c r="E23" s="8" t="n">
        <v>780</v>
      </c>
    </row>
    <row r="24" customFormat="false" ht="14.25" hidden="false" customHeight="false" outlineLevel="0" collapsed="false">
      <c r="A24" s="23" t="s">
        <v>118</v>
      </c>
      <c r="B24" s="23" t="s">
        <v>107</v>
      </c>
      <c r="C24" s="8" t="n">
        <v>400</v>
      </c>
      <c r="D24" s="15" t="n">
        <v>540</v>
      </c>
      <c r="E24" s="8" t="n">
        <v>780</v>
      </c>
    </row>
    <row r="25" customFormat="false" ht="14.25" hidden="false" customHeight="false" outlineLevel="0" collapsed="false">
      <c r="A25" s="23" t="s">
        <v>123</v>
      </c>
      <c r="B25" s="23" t="s">
        <v>107</v>
      </c>
      <c r="C25" s="8" t="n">
        <v>400</v>
      </c>
      <c r="D25" s="15" t="n">
        <v>540</v>
      </c>
      <c r="E25" s="8" t="n">
        <v>780</v>
      </c>
    </row>
    <row r="26" customFormat="false" ht="14.25" hidden="false" customHeight="false" outlineLevel="0" collapsed="false">
      <c r="A26" s="23" t="s">
        <v>124</v>
      </c>
      <c r="B26" s="23" t="s">
        <v>107</v>
      </c>
      <c r="C26" s="8" t="n">
        <v>400</v>
      </c>
      <c r="D26" s="15" t="n">
        <v>540</v>
      </c>
      <c r="E26" s="8" t="n">
        <v>780</v>
      </c>
    </row>
    <row r="27" customFormat="false" ht="14.25" hidden="false" customHeight="false" outlineLevel="0" collapsed="false">
      <c r="A27" s="23" t="s">
        <v>132</v>
      </c>
      <c r="B27" s="23" t="s">
        <v>107</v>
      </c>
      <c r="C27" s="8" t="n">
        <v>400</v>
      </c>
      <c r="D27" s="15" t="n">
        <v>540</v>
      </c>
      <c r="E27" s="8" t="n">
        <v>780</v>
      </c>
    </row>
    <row r="28" customFormat="false" ht="14.25" hidden="false" customHeight="false" outlineLevel="0" collapsed="false">
      <c r="A28" s="23" t="s">
        <v>134</v>
      </c>
      <c r="B28" s="23" t="s">
        <v>107</v>
      </c>
      <c r="C28" s="8" t="n">
        <v>400</v>
      </c>
      <c r="D28" s="15" t="n">
        <v>540</v>
      </c>
      <c r="E28" s="8" t="n">
        <v>780</v>
      </c>
    </row>
    <row r="29" customFormat="false" ht="14.25" hidden="false" customHeight="false" outlineLevel="0" collapsed="false">
      <c r="A29" s="23" t="s">
        <v>127</v>
      </c>
      <c r="B29" s="23" t="s">
        <v>107</v>
      </c>
      <c r="C29" s="8" t="n">
        <v>450</v>
      </c>
      <c r="D29" s="15" t="n">
        <v>600</v>
      </c>
      <c r="E29" s="8" t="n">
        <v>880</v>
      </c>
    </row>
    <row r="30" customFormat="false" ht="14.25" hidden="false" customHeight="false" outlineLevel="0" collapsed="false">
      <c r="A30" s="23" t="s">
        <v>136</v>
      </c>
      <c r="B30" s="23" t="s">
        <v>107</v>
      </c>
      <c r="C30" s="8" t="n">
        <v>450</v>
      </c>
      <c r="D30" s="15" t="n">
        <v>600</v>
      </c>
      <c r="E30" s="8" t="n">
        <v>880</v>
      </c>
    </row>
    <row r="31" customFormat="false" ht="14.25" hidden="false" customHeight="false" outlineLevel="0" collapsed="false">
      <c r="A31" s="23" t="s">
        <v>137</v>
      </c>
      <c r="B31" s="23" t="s">
        <v>107</v>
      </c>
      <c r="C31" s="8" t="n">
        <v>450</v>
      </c>
      <c r="D31" s="15" t="n">
        <v>600</v>
      </c>
      <c r="E31" s="8" t="n">
        <v>880</v>
      </c>
    </row>
    <row r="32" customFormat="false" ht="14.25" hidden="false" customHeight="false" outlineLevel="0" collapsed="false">
      <c r="A32" s="23" t="s">
        <v>138</v>
      </c>
      <c r="B32" s="23" t="s">
        <v>107</v>
      </c>
      <c r="C32" s="8" t="n">
        <v>450</v>
      </c>
      <c r="D32" s="15" t="n">
        <v>600</v>
      </c>
      <c r="E32" s="8" t="n">
        <v>880</v>
      </c>
    </row>
    <row r="33" customFormat="false" ht="14.25" hidden="false" customHeight="false" outlineLevel="0" collapsed="false">
      <c r="A33" s="23" t="s">
        <v>139</v>
      </c>
      <c r="B33" s="23" t="s">
        <v>107</v>
      </c>
      <c r="C33" s="8" t="n">
        <v>450</v>
      </c>
      <c r="D33" s="15" t="n">
        <v>600</v>
      </c>
      <c r="E33" s="8" t="n">
        <v>880</v>
      </c>
    </row>
    <row r="34" customFormat="false" ht="14.25" hidden="false" customHeight="false" outlineLevel="0" collapsed="false">
      <c r="A34" s="23" t="s">
        <v>112</v>
      </c>
      <c r="B34" s="23" t="s">
        <v>107</v>
      </c>
      <c r="C34" s="39" t="n">
        <v>500</v>
      </c>
      <c r="D34" s="15" t="n">
        <v>670</v>
      </c>
      <c r="E34" s="39" t="n">
        <v>1000</v>
      </c>
    </row>
    <row r="35" customFormat="false" ht="14.25" hidden="false" customHeight="false" outlineLevel="0" collapsed="false">
      <c r="A35" s="23" t="s">
        <v>135</v>
      </c>
      <c r="B35" s="23" t="s">
        <v>107</v>
      </c>
      <c r="C35" s="8" t="n">
        <v>350</v>
      </c>
      <c r="D35" s="15" t="n">
        <v>470</v>
      </c>
      <c r="E35" s="8" t="n">
        <v>1080</v>
      </c>
    </row>
    <row r="36" customFormat="false" ht="14.25" hidden="false" customHeight="false" outlineLevel="0" collapsed="false">
      <c r="A36" s="23" t="s">
        <v>141</v>
      </c>
      <c r="B36" s="23" t="s">
        <v>107</v>
      </c>
      <c r="C36" s="8" t="n">
        <v>600</v>
      </c>
      <c r="D36" s="15" t="n">
        <v>800</v>
      </c>
      <c r="E36" s="8" t="n">
        <v>1180</v>
      </c>
    </row>
  </sheetData>
  <autoFilter ref="A1:E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1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19" activeCellId="0" sqref="A119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41.27"/>
    <col collapsed="false" customWidth="true" hidden="false" outlineLevel="0" max="3" min="3" style="1" width="32.54"/>
    <col collapsed="false" customWidth="true" hidden="false" outlineLevel="0" max="4" min="4" style="2" width="11.18"/>
    <col collapsed="false" customWidth="true" hidden="false" outlineLevel="0" max="5" min="5" style="2" width="42.18"/>
    <col collapsed="false" customWidth="true" hidden="false" outlineLevel="0" max="6" min="6" style="2" width="12"/>
    <col collapsed="false" customWidth="true" hidden="false" outlineLevel="0" max="7" min="7" style="1" width="12"/>
  </cols>
  <sheetData>
    <row r="1" customFormat="false" ht="40.25" hidden="false" customHeight="false" outlineLevel="0" collapsed="false">
      <c r="A1" s="21" t="s">
        <v>270</v>
      </c>
      <c r="B1" s="21" t="s">
        <v>0</v>
      </c>
      <c r="C1" s="21" t="s">
        <v>1</v>
      </c>
      <c r="D1" s="22" t="s">
        <v>98</v>
      </c>
      <c r="E1" s="21" t="s">
        <v>3</v>
      </c>
      <c r="F1" s="21" t="s">
        <v>4</v>
      </c>
      <c r="G1" s="22" t="s">
        <v>271</v>
      </c>
      <c r="H1" s="22" t="s">
        <v>7</v>
      </c>
      <c r="I1" s="22" t="s">
        <v>10</v>
      </c>
      <c r="J1" s="22" t="s">
        <v>100</v>
      </c>
      <c r="K1" s="21" t="s">
        <v>13</v>
      </c>
    </row>
    <row r="2" customFormat="false" ht="14.25" hidden="false" customHeight="false" outlineLevel="0" collapsed="false">
      <c r="B2" s="8" t="n">
        <v>1</v>
      </c>
      <c r="C2" s="9" t="s">
        <v>32</v>
      </c>
      <c r="D2" s="10" t="s">
        <v>272</v>
      </c>
      <c r="E2" s="10" t="s">
        <v>17</v>
      </c>
      <c r="F2" s="10" t="s">
        <v>18</v>
      </c>
      <c r="G2" s="12"/>
      <c r="H2" s="12"/>
      <c r="I2" s="12"/>
      <c r="J2" s="12"/>
      <c r="K2" s="12"/>
    </row>
    <row r="3" customFormat="false" ht="14.25" hidden="false" customHeight="false" outlineLevel="0" collapsed="false">
      <c r="B3" s="8" t="n">
        <v>2</v>
      </c>
      <c r="C3" s="9" t="s">
        <v>33</v>
      </c>
      <c r="D3" s="10" t="s">
        <v>272</v>
      </c>
      <c r="E3" s="10" t="s">
        <v>17</v>
      </c>
      <c r="F3" s="10" t="s">
        <v>18</v>
      </c>
      <c r="G3" s="12"/>
      <c r="H3" s="12"/>
      <c r="I3" s="12"/>
      <c r="J3" s="12"/>
      <c r="K3" s="12"/>
    </row>
    <row r="4" customFormat="false" ht="14.25" hidden="false" customHeight="false" outlineLevel="0" collapsed="false">
      <c r="B4" s="8" t="n">
        <v>3</v>
      </c>
      <c r="C4" s="9" t="s">
        <v>44</v>
      </c>
      <c r="D4" s="10" t="s">
        <v>272</v>
      </c>
      <c r="E4" s="10" t="s">
        <v>17</v>
      </c>
      <c r="F4" s="10" t="s">
        <v>18</v>
      </c>
      <c r="G4" s="12"/>
      <c r="H4" s="12"/>
      <c r="I4" s="12"/>
      <c r="J4" s="12"/>
      <c r="K4" s="12"/>
    </row>
    <row r="5" customFormat="false" ht="14.25" hidden="false" customHeight="false" outlineLevel="0" collapsed="false">
      <c r="B5" s="8" t="n">
        <v>4</v>
      </c>
      <c r="C5" s="9" t="s">
        <v>35</v>
      </c>
      <c r="D5" s="10" t="s">
        <v>272</v>
      </c>
      <c r="E5" s="10" t="s">
        <v>17</v>
      </c>
      <c r="F5" s="10" t="s">
        <v>18</v>
      </c>
      <c r="G5" s="12"/>
      <c r="H5" s="12"/>
      <c r="I5" s="12"/>
      <c r="J5" s="12"/>
      <c r="K5" s="12"/>
    </row>
    <row r="6" customFormat="false" ht="14.25" hidden="false" customHeight="false" outlineLevel="0" collapsed="false">
      <c r="B6" s="8" t="n">
        <v>5</v>
      </c>
      <c r="C6" s="9" t="s">
        <v>40</v>
      </c>
      <c r="D6" s="10" t="s">
        <v>272</v>
      </c>
      <c r="E6" s="10" t="s">
        <v>17</v>
      </c>
      <c r="F6" s="10" t="s">
        <v>18</v>
      </c>
      <c r="G6" s="12"/>
      <c r="H6" s="12"/>
      <c r="I6" s="12"/>
      <c r="J6" s="12"/>
      <c r="K6" s="12"/>
    </row>
    <row r="7" customFormat="false" ht="14.25" hidden="false" customHeight="false" outlineLevel="0" collapsed="false">
      <c r="B7" s="8" t="n">
        <v>6</v>
      </c>
      <c r="C7" s="9" t="s">
        <v>41</v>
      </c>
      <c r="D7" s="10" t="s">
        <v>272</v>
      </c>
      <c r="E7" s="10" t="s">
        <v>17</v>
      </c>
      <c r="F7" s="10" t="s">
        <v>18</v>
      </c>
      <c r="G7" s="12"/>
      <c r="H7" s="12"/>
      <c r="I7" s="12"/>
      <c r="J7" s="12"/>
      <c r="K7" s="12"/>
    </row>
    <row r="8" customFormat="false" ht="14.25" hidden="false" customHeight="false" outlineLevel="0" collapsed="false">
      <c r="B8" s="8" t="n">
        <v>7</v>
      </c>
      <c r="C8" s="9" t="s">
        <v>42</v>
      </c>
      <c r="D8" s="10" t="s">
        <v>272</v>
      </c>
      <c r="E8" s="10" t="s">
        <v>17</v>
      </c>
      <c r="F8" s="10" t="s">
        <v>18</v>
      </c>
      <c r="G8" s="12"/>
      <c r="H8" s="12"/>
      <c r="I8" s="12"/>
      <c r="J8" s="12"/>
      <c r="K8" s="12"/>
    </row>
    <row r="9" customFormat="false" ht="14.25" hidden="false" customHeight="false" outlineLevel="0" collapsed="false">
      <c r="B9" s="8" t="n">
        <v>8</v>
      </c>
      <c r="C9" s="9" t="s">
        <v>43</v>
      </c>
      <c r="D9" s="10" t="s">
        <v>272</v>
      </c>
      <c r="E9" s="10" t="s">
        <v>17</v>
      </c>
      <c r="F9" s="10" t="s">
        <v>18</v>
      </c>
      <c r="G9" s="12"/>
      <c r="H9" s="12"/>
      <c r="I9" s="12"/>
      <c r="J9" s="12"/>
      <c r="K9" s="12"/>
    </row>
    <row r="10" customFormat="false" ht="14.25" hidden="false" customHeight="false" outlineLevel="0" collapsed="false">
      <c r="B10" s="8" t="n">
        <v>9</v>
      </c>
      <c r="C10" s="9" t="s">
        <v>34</v>
      </c>
      <c r="D10" s="10" t="s">
        <v>272</v>
      </c>
      <c r="E10" s="10" t="s">
        <v>17</v>
      </c>
      <c r="F10" s="10" t="s">
        <v>18</v>
      </c>
      <c r="G10" s="12"/>
      <c r="H10" s="12"/>
      <c r="I10" s="12"/>
      <c r="J10" s="12"/>
      <c r="K10" s="12"/>
    </row>
    <row r="11" customFormat="false" ht="14.25" hidden="false" customHeight="false" outlineLevel="0" collapsed="false">
      <c r="B11" s="8" t="n">
        <v>10</v>
      </c>
      <c r="C11" s="9" t="s">
        <v>45</v>
      </c>
      <c r="D11" s="10" t="s">
        <v>272</v>
      </c>
      <c r="E11" s="10" t="s">
        <v>17</v>
      </c>
      <c r="F11" s="10" t="s">
        <v>18</v>
      </c>
      <c r="G11" s="12"/>
      <c r="H11" s="12"/>
      <c r="I11" s="12"/>
      <c r="J11" s="12"/>
      <c r="K11" s="12"/>
    </row>
    <row r="12" customFormat="false" ht="14.25" hidden="false" customHeight="false" outlineLevel="0" collapsed="false">
      <c r="B12" s="8" t="n">
        <v>11</v>
      </c>
      <c r="C12" s="9" t="s">
        <v>36</v>
      </c>
      <c r="D12" s="10" t="s">
        <v>272</v>
      </c>
      <c r="E12" s="10" t="s">
        <v>17</v>
      </c>
      <c r="F12" s="10" t="s">
        <v>18</v>
      </c>
      <c r="G12" s="12"/>
      <c r="H12" s="12"/>
      <c r="I12" s="12"/>
      <c r="J12" s="12"/>
      <c r="K12" s="12"/>
    </row>
    <row r="13" customFormat="false" ht="14.25" hidden="false" customHeight="false" outlineLevel="0" collapsed="false">
      <c r="B13" s="8" t="n">
        <v>12</v>
      </c>
      <c r="C13" s="9" t="s">
        <v>37</v>
      </c>
      <c r="D13" s="10" t="s">
        <v>272</v>
      </c>
      <c r="E13" s="10" t="s">
        <v>17</v>
      </c>
      <c r="F13" s="10" t="s">
        <v>18</v>
      </c>
      <c r="G13" s="12"/>
      <c r="H13" s="12"/>
      <c r="I13" s="12"/>
      <c r="J13" s="12"/>
      <c r="K13" s="12"/>
    </row>
    <row r="14" customFormat="false" ht="14.25" hidden="false" customHeight="false" outlineLevel="0" collapsed="false">
      <c r="B14" s="8" t="n">
        <v>13</v>
      </c>
      <c r="C14" s="9" t="s">
        <v>273</v>
      </c>
      <c r="D14" s="10" t="s">
        <v>272</v>
      </c>
      <c r="E14" s="10" t="s">
        <v>17</v>
      </c>
      <c r="F14" s="10" t="s">
        <v>18</v>
      </c>
      <c r="G14" s="12"/>
      <c r="H14" s="12"/>
      <c r="I14" s="12"/>
      <c r="J14" s="12"/>
      <c r="K14" s="12"/>
    </row>
    <row r="15" customFormat="false" ht="14.25" hidden="false" customHeight="false" outlineLevel="0" collapsed="false">
      <c r="B15" s="8" t="n">
        <v>14</v>
      </c>
      <c r="C15" s="9" t="s">
        <v>39</v>
      </c>
      <c r="D15" s="10" t="s">
        <v>272</v>
      </c>
      <c r="E15" s="10" t="s">
        <v>17</v>
      </c>
      <c r="F15" s="10" t="s">
        <v>18</v>
      </c>
      <c r="G15" s="12"/>
      <c r="H15" s="12"/>
      <c r="I15" s="12"/>
      <c r="J15" s="12"/>
      <c r="K15" s="12"/>
    </row>
    <row r="16" customFormat="false" ht="14.25" hidden="false" customHeight="false" outlineLevel="0" collapsed="false">
      <c r="B16" s="8" t="n">
        <v>15</v>
      </c>
      <c r="C16" s="9" t="s">
        <v>46</v>
      </c>
      <c r="D16" s="10" t="s">
        <v>272</v>
      </c>
      <c r="E16" s="10" t="s">
        <v>47</v>
      </c>
      <c r="F16" s="10" t="s">
        <v>47</v>
      </c>
      <c r="G16" s="12"/>
      <c r="H16" s="12"/>
      <c r="I16" s="12"/>
      <c r="J16" s="12"/>
      <c r="K16" s="12"/>
    </row>
    <row r="17" customFormat="false" ht="14.25" hidden="false" customHeight="false" outlineLevel="0" collapsed="false">
      <c r="B17" s="8" t="n">
        <v>16</v>
      </c>
      <c r="C17" s="9" t="s">
        <v>48</v>
      </c>
      <c r="D17" s="10" t="s">
        <v>272</v>
      </c>
      <c r="E17" s="10" t="s">
        <v>47</v>
      </c>
      <c r="F17" s="10" t="s">
        <v>47</v>
      </c>
      <c r="G17" s="12"/>
      <c r="H17" s="12"/>
      <c r="I17" s="12"/>
      <c r="J17" s="12"/>
      <c r="K17" s="12"/>
    </row>
    <row r="18" customFormat="false" ht="14.25" hidden="false" customHeight="false" outlineLevel="0" collapsed="false">
      <c r="B18" s="8" t="n">
        <v>17</v>
      </c>
      <c r="C18" s="9" t="s">
        <v>49</v>
      </c>
      <c r="D18" s="10" t="s">
        <v>272</v>
      </c>
      <c r="E18" s="10" t="s">
        <v>47</v>
      </c>
      <c r="F18" s="10" t="s">
        <v>47</v>
      </c>
      <c r="G18" s="12"/>
      <c r="H18" s="12"/>
      <c r="I18" s="12"/>
      <c r="J18" s="12"/>
      <c r="K18" s="12"/>
    </row>
    <row r="19" customFormat="false" ht="14.25" hidden="false" customHeight="false" outlineLevel="0" collapsed="false">
      <c r="B19" s="8" t="n">
        <v>18</v>
      </c>
      <c r="C19" s="9" t="s">
        <v>50</v>
      </c>
      <c r="D19" s="10" t="s">
        <v>272</v>
      </c>
      <c r="E19" s="10" t="s">
        <v>47</v>
      </c>
      <c r="F19" s="10" t="s">
        <v>47</v>
      </c>
      <c r="G19" s="12"/>
      <c r="H19" s="12"/>
      <c r="I19" s="12"/>
      <c r="J19" s="12"/>
      <c r="K19" s="12"/>
    </row>
    <row r="20" customFormat="false" ht="14.25" hidden="false" customHeight="false" outlineLevel="0" collapsed="false">
      <c r="B20" s="8"/>
      <c r="C20" s="9"/>
      <c r="D20" s="10"/>
      <c r="E20" s="10"/>
      <c r="F20" s="10"/>
      <c r="G20" s="12"/>
      <c r="H20" s="12"/>
      <c r="I20" s="12"/>
      <c r="J20" s="12"/>
      <c r="K20" s="12"/>
    </row>
    <row r="21" customFormat="false" ht="14.25" hidden="false" customHeight="false" outlineLevel="0" collapsed="false">
      <c r="B21" s="8" t="n">
        <v>1</v>
      </c>
      <c r="C21" s="9" t="s">
        <v>32</v>
      </c>
      <c r="D21" s="10" t="s">
        <v>274</v>
      </c>
      <c r="E21" s="8" t="s">
        <v>51</v>
      </c>
      <c r="F21" s="8" t="s">
        <v>51</v>
      </c>
      <c r="G21" s="12"/>
      <c r="H21" s="12"/>
      <c r="I21" s="12"/>
      <c r="J21" s="12"/>
      <c r="K21" s="12"/>
    </row>
    <row r="22" customFormat="false" ht="14.25" hidden="false" customHeight="false" outlineLevel="0" collapsed="false">
      <c r="B22" s="8" t="n">
        <v>2</v>
      </c>
      <c r="C22" s="9" t="s">
        <v>33</v>
      </c>
      <c r="D22" s="10" t="s">
        <v>274</v>
      </c>
      <c r="E22" s="8" t="s">
        <v>51</v>
      </c>
      <c r="F22" s="8" t="s">
        <v>51</v>
      </c>
      <c r="G22" s="12"/>
      <c r="H22" s="12"/>
      <c r="I22" s="12"/>
      <c r="J22" s="12"/>
      <c r="K22" s="12"/>
    </row>
    <row r="23" customFormat="false" ht="14.25" hidden="false" customHeight="false" outlineLevel="0" collapsed="false">
      <c r="B23" s="8" t="n">
        <v>3</v>
      </c>
      <c r="C23" s="9" t="s">
        <v>44</v>
      </c>
      <c r="D23" s="10" t="s">
        <v>274</v>
      </c>
      <c r="E23" s="8" t="s">
        <v>51</v>
      </c>
      <c r="F23" s="8" t="s">
        <v>51</v>
      </c>
      <c r="G23" s="12"/>
      <c r="H23" s="12"/>
      <c r="I23" s="12"/>
      <c r="J23" s="12"/>
      <c r="K23" s="12"/>
    </row>
    <row r="24" customFormat="false" ht="14.25" hidden="false" customHeight="false" outlineLevel="0" collapsed="false">
      <c r="B24" s="8" t="n">
        <v>4</v>
      </c>
      <c r="C24" s="9" t="s">
        <v>35</v>
      </c>
      <c r="D24" s="10" t="s">
        <v>274</v>
      </c>
      <c r="E24" s="8" t="s">
        <v>51</v>
      </c>
      <c r="F24" s="8" t="s">
        <v>51</v>
      </c>
      <c r="G24" s="12"/>
      <c r="H24" s="12"/>
      <c r="I24" s="12"/>
      <c r="J24" s="12"/>
      <c r="K24" s="12"/>
    </row>
    <row r="25" customFormat="false" ht="14.25" hidden="false" customHeight="false" outlineLevel="0" collapsed="false">
      <c r="B25" s="8" t="n">
        <v>5</v>
      </c>
      <c r="C25" s="9" t="s">
        <v>40</v>
      </c>
      <c r="D25" s="10" t="s">
        <v>274</v>
      </c>
      <c r="E25" s="8" t="s">
        <v>51</v>
      </c>
      <c r="F25" s="8" t="s">
        <v>51</v>
      </c>
      <c r="G25" s="12"/>
      <c r="H25" s="12"/>
      <c r="I25" s="12"/>
      <c r="J25" s="12"/>
      <c r="K25" s="12"/>
    </row>
    <row r="26" customFormat="false" ht="14.25" hidden="false" customHeight="false" outlineLevel="0" collapsed="false">
      <c r="B26" s="8" t="n">
        <v>6</v>
      </c>
      <c r="C26" s="9" t="s">
        <v>41</v>
      </c>
      <c r="D26" s="10" t="s">
        <v>274</v>
      </c>
      <c r="E26" s="8" t="s">
        <v>51</v>
      </c>
      <c r="F26" s="8" t="s">
        <v>51</v>
      </c>
      <c r="G26" s="12"/>
      <c r="H26" s="12"/>
      <c r="I26" s="12"/>
      <c r="J26" s="12"/>
      <c r="K26" s="12"/>
    </row>
    <row r="27" customFormat="false" ht="14.25" hidden="false" customHeight="false" outlineLevel="0" collapsed="false">
      <c r="B27" s="8" t="n">
        <v>7</v>
      </c>
      <c r="C27" s="9" t="s">
        <v>42</v>
      </c>
      <c r="D27" s="10" t="s">
        <v>274</v>
      </c>
      <c r="E27" s="8" t="s">
        <v>51</v>
      </c>
      <c r="F27" s="8" t="s">
        <v>51</v>
      </c>
      <c r="G27" s="12"/>
      <c r="H27" s="12"/>
      <c r="I27" s="12"/>
      <c r="J27" s="12"/>
      <c r="K27" s="12"/>
    </row>
    <row r="28" customFormat="false" ht="14.25" hidden="false" customHeight="false" outlineLevel="0" collapsed="false">
      <c r="B28" s="8" t="n">
        <v>8</v>
      </c>
      <c r="C28" s="9" t="s">
        <v>43</v>
      </c>
      <c r="D28" s="10" t="s">
        <v>274</v>
      </c>
      <c r="E28" s="8" t="s">
        <v>51</v>
      </c>
      <c r="F28" s="8" t="s">
        <v>51</v>
      </c>
      <c r="G28" s="12"/>
      <c r="H28" s="12"/>
      <c r="I28" s="12"/>
      <c r="J28" s="12"/>
      <c r="K28" s="12"/>
    </row>
    <row r="29" customFormat="false" ht="14.25" hidden="false" customHeight="false" outlineLevel="0" collapsed="false">
      <c r="B29" s="8" t="n">
        <v>9</v>
      </c>
      <c r="C29" s="9" t="s">
        <v>34</v>
      </c>
      <c r="D29" s="10" t="s">
        <v>274</v>
      </c>
      <c r="E29" s="8" t="s">
        <v>51</v>
      </c>
      <c r="F29" s="8" t="s">
        <v>51</v>
      </c>
      <c r="G29" s="12"/>
      <c r="H29" s="12"/>
      <c r="I29" s="12"/>
      <c r="J29" s="12"/>
      <c r="K29" s="12"/>
    </row>
    <row r="30" customFormat="false" ht="14.25" hidden="false" customHeight="false" outlineLevel="0" collapsed="false">
      <c r="B30" s="8" t="n">
        <v>10</v>
      </c>
      <c r="C30" s="9" t="s">
        <v>45</v>
      </c>
      <c r="D30" s="10" t="s">
        <v>274</v>
      </c>
      <c r="E30" s="8" t="s">
        <v>51</v>
      </c>
      <c r="F30" s="8" t="s">
        <v>51</v>
      </c>
      <c r="G30" s="12"/>
      <c r="H30" s="12"/>
      <c r="I30" s="12"/>
      <c r="J30" s="12"/>
      <c r="K30" s="12"/>
    </row>
    <row r="31" customFormat="false" ht="14.25" hidden="false" customHeight="false" outlineLevel="0" collapsed="false">
      <c r="B31" s="8" t="n">
        <v>11</v>
      </c>
      <c r="C31" s="9" t="s">
        <v>36</v>
      </c>
      <c r="D31" s="10" t="s">
        <v>274</v>
      </c>
      <c r="E31" s="8" t="s">
        <v>51</v>
      </c>
      <c r="F31" s="8" t="s">
        <v>51</v>
      </c>
      <c r="G31" s="12"/>
      <c r="H31" s="12"/>
      <c r="I31" s="12"/>
      <c r="J31" s="12"/>
      <c r="K31" s="12"/>
    </row>
    <row r="32" customFormat="false" ht="14.25" hidden="false" customHeight="false" outlineLevel="0" collapsed="false">
      <c r="B32" s="8" t="n">
        <v>12</v>
      </c>
      <c r="C32" s="9" t="s">
        <v>37</v>
      </c>
      <c r="D32" s="10" t="s">
        <v>274</v>
      </c>
      <c r="E32" s="8" t="s">
        <v>51</v>
      </c>
      <c r="F32" s="8" t="s">
        <v>51</v>
      </c>
      <c r="G32" s="12"/>
      <c r="H32" s="12"/>
      <c r="I32" s="12"/>
      <c r="J32" s="12"/>
      <c r="K32" s="12"/>
    </row>
    <row r="33" customFormat="false" ht="14.25" hidden="false" customHeight="false" outlineLevel="0" collapsed="false">
      <c r="B33" s="8" t="n">
        <v>13</v>
      </c>
      <c r="C33" s="9" t="s">
        <v>273</v>
      </c>
      <c r="D33" s="10" t="s">
        <v>274</v>
      </c>
      <c r="E33" s="8" t="s">
        <v>51</v>
      </c>
      <c r="F33" s="8" t="s">
        <v>51</v>
      </c>
      <c r="G33" s="12"/>
      <c r="H33" s="12"/>
      <c r="I33" s="12"/>
      <c r="J33" s="12"/>
      <c r="K33" s="12"/>
    </row>
    <row r="34" customFormat="false" ht="14.25" hidden="false" customHeight="false" outlineLevel="0" collapsed="false">
      <c r="B34" s="8" t="n">
        <v>14</v>
      </c>
      <c r="C34" s="9" t="s">
        <v>39</v>
      </c>
      <c r="D34" s="10" t="s">
        <v>274</v>
      </c>
      <c r="E34" s="8" t="s">
        <v>51</v>
      </c>
      <c r="F34" s="8" t="s">
        <v>51</v>
      </c>
      <c r="G34" s="12"/>
      <c r="H34" s="12"/>
      <c r="I34" s="12"/>
      <c r="J34" s="12"/>
      <c r="K34" s="12"/>
    </row>
    <row r="35" customFormat="false" ht="14.25" hidden="false" customHeight="false" outlineLevel="0" collapsed="false">
      <c r="B35" s="8" t="n">
        <v>15</v>
      </c>
      <c r="C35" s="9" t="s">
        <v>46</v>
      </c>
      <c r="D35" s="10" t="s">
        <v>228</v>
      </c>
      <c r="E35" s="8" t="s">
        <v>51</v>
      </c>
      <c r="F35" s="8" t="s">
        <v>52</v>
      </c>
      <c r="G35" s="12"/>
      <c r="H35" s="12"/>
      <c r="I35" s="12"/>
      <c r="J35" s="12"/>
      <c r="K35" s="12"/>
    </row>
    <row r="36" customFormat="false" ht="14.25" hidden="false" customHeight="false" outlineLevel="0" collapsed="false">
      <c r="B36" s="8" t="n">
        <v>16</v>
      </c>
      <c r="C36" s="9" t="s">
        <v>48</v>
      </c>
      <c r="D36" s="10" t="s">
        <v>228</v>
      </c>
      <c r="E36" s="8" t="s">
        <v>51</v>
      </c>
      <c r="F36" s="8" t="s">
        <v>52</v>
      </c>
      <c r="G36" s="12"/>
      <c r="H36" s="12"/>
      <c r="I36" s="12"/>
      <c r="J36" s="12"/>
      <c r="K36" s="12"/>
    </row>
    <row r="37" customFormat="false" ht="14.25" hidden="false" customHeight="false" outlineLevel="0" collapsed="false">
      <c r="B37" s="8" t="n">
        <v>17</v>
      </c>
      <c r="C37" s="9" t="s">
        <v>49</v>
      </c>
      <c r="D37" s="10" t="s">
        <v>228</v>
      </c>
      <c r="E37" s="8" t="s">
        <v>51</v>
      </c>
      <c r="F37" s="8" t="s">
        <v>52</v>
      </c>
      <c r="G37" s="12"/>
      <c r="H37" s="12"/>
      <c r="I37" s="12"/>
      <c r="J37" s="12"/>
      <c r="K37" s="12"/>
    </row>
    <row r="38" customFormat="false" ht="14.25" hidden="false" customHeight="false" outlineLevel="0" collapsed="false">
      <c r="B38" s="8" t="n">
        <v>18</v>
      </c>
      <c r="C38" s="9" t="s">
        <v>50</v>
      </c>
      <c r="D38" s="10" t="s">
        <v>228</v>
      </c>
      <c r="E38" s="8" t="s">
        <v>51</v>
      </c>
      <c r="F38" s="8" t="s">
        <v>52</v>
      </c>
      <c r="G38" s="12"/>
      <c r="H38" s="12"/>
      <c r="I38" s="12"/>
      <c r="J38" s="12"/>
      <c r="K38" s="12"/>
    </row>
    <row r="39" customFormat="false" ht="14.25" hidden="false" customHeight="false" outlineLevel="0" collapsed="false">
      <c r="B39" s="8"/>
      <c r="C39" s="12" t="s">
        <v>53</v>
      </c>
      <c r="D39" s="8" t="s">
        <v>274</v>
      </c>
      <c r="E39" s="8" t="s">
        <v>54</v>
      </c>
      <c r="F39" s="8" t="s">
        <v>55</v>
      </c>
      <c r="G39" s="12"/>
      <c r="H39" s="12"/>
      <c r="I39" s="12"/>
      <c r="J39" s="12"/>
      <c r="K39" s="12"/>
    </row>
    <row r="40" customFormat="false" ht="14.25" hidden="false" customHeight="false" outlineLevel="0" collapsed="false">
      <c r="B40" s="8" t="n">
        <v>1</v>
      </c>
      <c r="C40" s="12" t="s">
        <v>275</v>
      </c>
      <c r="D40" s="8"/>
      <c r="E40" s="8" t="s">
        <v>57</v>
      </c>
      <c r="F40" s="8" t="s">
        <v>57</v>
      </c>
      <c r="G40" s="12"/>
      <c r="H40" s="12"/>
      <c r="I40" s="12"/>
      <c r="J40" s="12"/>
      <c r="K40" s="12"/>
    </row>
    <row r="41" customFormat="false" ht="14.25" hidden="false" customHeight="false" outlineLevel="0" collapsed="false">
      <c r="B41" s="8" t="n">
        <v>2</v>
      </c>
      <c r="C41" s="12" t="s">
        <v>276</v>
      </c>
      <c r="D41" s="8"/>
      <c r="E41" s="8" t="s">
        <v>57</v>
      </c>
      <c r="F41" s="8" t="s">
        <v>57</v>
      </c>
      <c r="G41" s="12"/>
      <c r="H41" s="12"/>
      <c r="I41" s="12"/>
      <c r="J41" s="12"/>
      <c r="K41" s="12"/>
    </row>
    <row r="42" customFormat="false" ht="14.25" hidden="false" customHeight="false" outlineLevel="0" collapsed="false">
      <c r="B42" s="8" t="n">
        <v>3</v>
      </c>
      <c r="C42" s="12" t="s">
        <v>59</v>
      </c>
      <c r="D42" s="8"/>
      <c r="E42" s="8" t="s">
        <v>57</v>
      </c>
      <c r="F42" s="8" t="s">
        <v>57</v>
      </c>
      <c r="G42" s="12"/>
      <c r="H42" s="12"/>
      <c r="I42" s="12"/>
      <c r="J42" s="12"/>
      <c r="K42" s="12"/>
    </row>
    <row r="43" customFormat="false" ht="14.25" hidden="false" customHeight="false" outlineLevel="0" collapsed="false">
      <c r="B43" s="8" t="n">
        <v>4</v>
      </c>
      <c r="C43" s="12" t="s">
        <v>60</v>
      </c>
      <c r="D43" s="8"/>
      <c r="E43" s="8" t="s">
        <v>57</v>
      </c>
      <c r="F43" s="8" t="s">
        <v>57</v>
      </c>
      <c r="G43" s="12"/>
      <c r="H43" s="12"/>
      <c r="I43" s="12"/>
      <c r="J43" s="12"/>
      <c r="K43" s="12"/>
    </row>
    <row r="44" customFormat="false" ht="14.25" hidden="false" customHeight="false" outlineLevel="0" collapsed="false">
      <c r="B44" s="8" t="n">
        <v>5</v>
      </c>
      <c r="C44" s="12" t="s">
        <v>61</v>
      </c>
      <c r="D44" s="8"/>
      <c r="E44" s="8" t="s">
        <v>57</v>
      </c>
      <c r="F44" s="8" t="s">
        <v>57</v>
      </c>
      <c r="G44" s="12"/>
      <c r="H44" s="12"/>
      <c r="I44" s="12"/>
      <c r="J44" s="12"/>
      <c r="K44" s="12"/>
    </row>
    <row r="45" customFormat="false" ht="14.25" hidden="false" customHeight="false" outlineLevel="0" collapsed="false">
      <c r="B45" s="8" t="n">
        <v>6</v>
      </c>
      <c r="C45" s="12" t="s">
        <v>277</v>
      </c>
      <c r="D45" s="8"/>
      <c r="E45" s="8" t="s">
        <v>57</v>
      </c>
      <c r="F45" s="8" t="s">
        <v>57</v>
      </c>
      <c r="G45" s="12"/>
      <c r="H45" s="12"/>
      <c r="I45" s="12"/>
      <c r="J45" s="12"/>
      <c r="K45" s="12"/>
    </row>
    <row r="46" customFormat="false" ht="14.25" hidden="false" customHeight="false" outlineLevel="0" collapsed="false">
      <c r="B46" s="8" t="n">
        <v>7</v>
      </c>
      <c r="C46" s="12" t="s">
        <v>63</v>
      </c>
      <c r="D46" s="8"/>
      <c r="E46" s="8" t="s">
        <v>57</v>
      </c>
      <c r="F46" s="8" t="s">
        <v>57</v>
      </c>
      <c r="G46" s="12"/>
      <c r="H46" s="12"/>
      <c r="I46" s="12"/>
      <c r="J46" s="12"/>
      <c r="K46" s="12"/>
    </row>
    <row r="47" customFormat="false" ht="14.25" hidden="false" customHeight="false" outlineLevel="0" collapsed="false">
      <c r="B47" s="8" t="n">
        <v>8</v>
      </c>
      <c r="C47" s="12" t="s">
        <v>64</v>
      </c>
      <c r="D47" s="8"/>
      <c r="E47" s="8" t="s">
        <v>57</v>
      </c>
      <c r="F47" s="8" t="s">
        <v>57</v>
      </c>
      <c r="G47" s="12"/>
      <c r="H47" s="12"/>
      <c r="I47" s="12"/>
      <c r="J47" s="12"/>
      <c r="K47" s="12"/>
    </row>
    <row r="48" customFormat="false" ht="14.25" hidden="false" customHeight="false" outlineLevel="0" collapsed="false">
      <c r="B48" s="8" t="n">
        <v>9</v>
      </c>
      <c r="C48" s="12" t="s">
        <v>278</v>
      </c>
      <c r="D48" s="8"/>
      <c r="E48" s="8" t="s">
        <v>66</v>
      </c>
      <c r="F48" s="8" t="s">
        <v>66</v>
      </c>
      <c r="G48" s="12"/>
      <c r="H48" s="12"/>
      <c r="I48" s="12"/>
      <c r="J48" s="12"/>
      <c r="K48" s="12"/>
    </row>
    <row r="49" customFormat="false" ht="14.25" hidden="false" customHeight="false" outlineLevel="0" collapsed="false">
      <c r="B49" s="8" t="n">
        <v>10</v>
      </c>
      <c r="C49" s="12" t="s">
        <v>67</v>
      </c>
      <c r="D49" s="8"/>
      <c r="E49" s="8" t="s">
        <v>66</v>
      </c>
      <c r="F49" s="8" t="s">
        <v>66</v>
      </c>
      <c r="G49" s="12"/>
      <c r="H49" s="12"/>
      <c r="I49" s="12"/>
      <c r="J49" s="12"/>
      <c r="K49" s="12"/>
    </row>
    <row r="50" customFormat="false" ht="14.25" hidden="false" customHeight="false" outlineLevel="0" collapsed="false">
      <c r="B50" s="8" t="n">
        <v>11</v>
      </c>
      <c r="C50" s="12" t="s">
        <v>279</v>
      </c>
      <c r="D50" s="8"/>
      <c r="E50" s="8" t="s">
        <v>66</v>
      </c>
      <c r="F50" s="8" t="s">
        <v>66</v>
      </c>
      <c r="G50" s="12"/>
      <c r="H50" s="12"/>
      <c r="I50" s="12"/>
      <c r="J50" s="12"/>
      <c r="K50" s="12"/>
    </row>
    <row r="51" customFormat="false" ht="14.25" hidden="false" customHeight="false" outlineLevel="0" collapsed="false">
      <c r="B51" s="8" t="n">
        <v>12</v>
      </c>
      <c r="C51" s="12" t="s">
        <v>280</v>
      </c>
      <c r="D51" s="8"/>
      <c r="E51" s="8" t="s">
        <v>66</v>
      </c>
      <c r="F51" s="8" t="s">
        <v>66</v>
      </c>
      <c r="G51" s="12"/>
      <c r="H51" s="12"/>
      <c r="I51" s="12"/>
      <c r="J51" s="12"/>
      <c r="K51" s="12"/>
    </row>
    <row r="52" customFormat="false" ht="14.25" hidden="false" customHeight="false" outlineLevel="0" collapsed="false">
      <c r="B52" s="8" t="n">
        <v>13</v>
      </c>
      <c r="C52" s="12" t="s">
        <v>281</v>
      </c>
      <c r="D52" s="8"/>
      <c r="E52" s="8" t="s">
        <v>66</v>
      </c>
      <c r="F52" s="8" t="s">
        <v>66</v>
      </c>
      <c r="G52" s="12"/>
      <c r="H52" s="12"/>
      <c r="I52" s="12"/>
      <c r="J52" s="12"/>
      <c r="K52" s="12"/>
    </row>
    <row r="53" customFormat="false" ht="14.25" hidden="false" customHeight="false" outlineLevel="0" collapsed="false">
      <c r="B53" s="8" t="n">
        <v>14</v>
      </c>
      <c r="C53" s="12" t="s">
        <v>71</v>
      </c>
      <c r="D53" s="8"/>
      <c r="E53" s="8" t="s">
        <v>66</v>
      </c>
      <c r="F53" s="8" t="s">
        <v>66</v>
      </c>
      <c r="G53" s="12"/>
      <c r="H53" s="12"/>
      <c r="I53" s="12"/>
      <c r="J53" s="12"/>
      <c r="K53" s="12"/>
    </row>
    <row r="54" customFormat="false" ht="14.25" hidden="false" customHeight="false" outlineLevel="0" collapsed="false">
      <c r="B54" s="8" t="n">
        <v>15</v>
      </c>
      <c r="C54" s="12" t="s">
        <v>282</v>
      </c>
      <c r="D54" s="8"/>
      <c r="E54" s="8" t="s">
        <v>66</v>
      </c>
      <c r="F54" s="8" t="s">
        <v>66</v>
      </c>
      <c r="G54" s="12"/>
      <c r="H54" s="12"/>
      <c r="I54" s="12"/>
      <c r="J54" s="12"/>
      <c r="K54" s="12"/>
    </row>
    <row r="55" customFormat="false" ht="14.25" hidden="false" customHeight="false" outlineLevel="0" collapsed="false">
      <c r="B55" s="8" t="n">
        <v>16</v>
      </c>
      <c r="C55" s="12" t="s">
        <v>73</v>
      </c>
      <c r="D55" s="8"/>
      <c r="E55" s="8" t="s">
        <v>66</v>
      </c>
      <c r="F55" s="8" t="s">
        <v>66</v>
      </c>
      <c r="G55" s="12"/>
      <c r="H55" s="12"/>
      <c r="I55" s="12"/>
      <c r="J55" s="12"/>
      <c r="K55" s="12"/>
    </row>
    <row r="56" customFormat="false" ht="14.25" hidden="false" customHeight="false" outlineLevel="0" collapsed="false">
      <c r="B56" s="8" t="n">
        <v>17</v>
      </c>
      <c r="C56" s="12" t="s">
        <v>74</v>
      </c>
      <c r="D56" s="8"/>
      <c r="E56" s="8" t="s">
        <v>66</v>
      </c>
      <c r="F56" s="8" t="s">
        <v>66</v>
      </c>
      <c r="G56" s="12"/>
      <c r="H56" s="12"/>
      <c r="I56" s="12"/>
      <c r="J56" s="12"/>
      <c r="K56" s="12"/>
    </row>
    <row r="57" customFormat="false" ht="14.25" hidden="false" customHeight="false" outlineLevel="0" collapsed="false">
      <c r="B57" s="8" t="n">
        <v>18</v>
      </c>
      <c r="C57" s="12" t="s">
        <v>75</v>
      </c>
      <c r="D57" s="8"/>
      <c r="E57" s="8" t="s">
        <v>66</v>
      </c>
      <c r="F57" s="8" t="s">
        <v>66</v>
      </c>
      <c r="G57" s="12"/>
      <c r="H57" s="12"/>
      <c r="I57" s="12"/>
      <c r="J57" s="12"/>
      <c r="K57" s="12"/>
    </row>
    <row r="58" customFormat="false" ht="14.25" hidden="false" customHeight="false" outlineLevel="0" collapsed="false">
      <c r="B58" s="8" t="n">
        <v>19</v>
      </c>
      <c r="C58" s="12" t="s">
        <v>76</v>
      </c>
      <c r="D58" s="8"/>
      <c r="E58" s="8" t="s">
        <v>77</v>
      </c>
      <c r="F58" s="8" t="s">
        <v>78</v>
      </c>
      <c r="G58" s="12"/>
      <c r="H58" s="12"/>
      <c r="I58" s="12"/>
      <c r="J58" s="12"/>
      <c r="K58" s="12"/>
    </row>
    <row r="59" customFormat="false" ht="14.25" hidden="false" customHeight="false" outlineLevel="0" collapsed="false">
      <c r="B59" s="8" t="n">
        <v>20</v>
      </c>
      <c r="C59" s="12" t="s">
        <v>79</v>
      </c>
      <c r="D59" s="8"/>
      <c r="E59" s="8" t="s">
        <v>80</v>
      </c>
      <c r="F59" s="8" t="s">
        <v>81</v>
      </c>
      <c r="G59" s="12"/>
      <c r="H59" s="12"/>
      <c r="I59" s="12"/>
      <c r="J59" s="12"/>
      <c r="K59" s="12"/>
    </row>
    <row r="60" customFormat="false" ht="14.25" hidden="false" customHeight="false" outlineLevel="0" collapsed="false">
      <c r="B60" s="8" t="n">
        <v>21</v>
      </c>
      <c r="C60" s="12" t="s">
        <v>82</v>
      </c>
      <c r="D60" s="8"/>
      <c r="E60" s="8" t="s">
        <v>83</v>
      </c>
      <c r="F60" s="8" t="s">
        <v>84</v>
      </c>
      <c r="G60" s="12"/>
      <c r="H60" s="12"/>
      <c r="I60" s="12"/>
      <c r="J60" s="12"/>
      <c r="K60" s="12"/>
    </row>
    <row r="61" customFormat="false" ht="14.25" hidden="false" customHeight="false" outlineLevel="0" collapsed="false">
      <c r="B61" s="8" t="n">
        <v>22</v>
      </c>
      <c r="C61" s="12" t="s">
        <v>85</v>
      </c>
      <c r="D61" s="8"/>
      <c r="E61" s="8" t="s">
        <v>83</v>
      </c>
      <c r="F61" s="8" t="s">
        <v>84</v>
      </c>
      <c r="G61" s="12"/>
      <c r="H61" s="12"/>
      <c r="I61" s="12"/>
      <c r="J61" s="12"/>
      <c r="K61" s="12"/>
    </row>
    <row r="62" customFormat="false" ht="14.25" hidden="false" customHeight="false" outlineLevel="0" collapsed="false">
      <c r="B62" s="8" t="n">
        <v>23</v>
      </c>
      <c r="C62" s="12" t="s">
        <v>86</v>
      </c>
      <c r="D62" s="8"/>
      <c r="E62" s="8" t="s">
        <v>83</v>
      </c>
      <c r="F62" s="8" t="s">
        <v>84</v>
      </c>
      <c r="G62" s="12"/>
      <c r="H62" s="12"/>
      <c r="I62" s="12"/>
      <c r="J62" s="12"/>
      <c r="K62" s="12"/>
    </row>
    <row r="63" customFormat="false" ht="14.25" hidden="false" customHeight="false" outlineLevel="0" collapsed="false">
      <c r="B63" s="8" t="n">
        <v>24</v>
      </c>
      <c r="C63" s="12" t="s">
        <v>87</v>
      </c>
      <c r="D63" s="8"/>
      <c r="E63" s="8" t="s">
        <v>83</v>
      </c>
      <c r="F63" s="8" t="s">
        <v>84</v>
      </c>
      <c r="G63" s="12"/>
      <c r="H63" s="12"/>
      <c r="I63" s="12"/>
      <c r="J63" s="12"/>
      <c r="K63" s="12"/>
    </row>
    <row r="64" customFormat="false" ht="14.25" hidden="false" customHeight="false" outlineLevel="0" collapsed="false">
      <c r="B64" s="8" t="n">
        <v>25</v>
      </c>
      <c r="C64" s="12" t="s">
        <v>88</v>
      </c>
      <c r="D64" s="8"/>
      <c r="E64" s="8" t="s">
        <v>89</v>
      </c>
      <c r="F64" s="8" t="s">
        <v>89</v>
      </c>
      <c r="G64" s="12"/>
      <c r="H64" s="12"/>
      <c r="I64" s="12"/>
      <c r="J64" s="12"/>
      <c r="K64" s="12"/>
    </row>
    <row r="65" customFormat="false" ht="14.25" hidden="false" customHeight="false" outlineLevel="0" collapsed="false">
      <c r="B65" s="8" t="n">
        <v>26</v>
      </c>
      <c r="C65" s="12" t="s">
        <v>90</v>
      </c>
      <c r="D65" s="8"/>
      <c r="E65" s="8" t="s">
        <v>89</v>
      </c>
      <c r="F65" s="8" t="s">
        <v>89</v>
      </c>
      <c r="G65" s="12"/>
      <c r="H65" s="12"/>
      <c r="I65" s="12"/>
      <c r="J65" s="12"/>
      <c r="K65" s="12"/>
    </row>
    <row r="66" customFormat="false" ht="14.25" hidden="false" customHeight="false" outlineLevel="0" collapsed="false">
      <c r="B66" s="8" t="n">
        <v>27</v>
      </c>
      <c r="C66" s="12" t="s">
        <v>91</v>
      </c>
      <c r="D66" s="8"/>
      <c r="E66" s="8" t="s">
        <v>89</v>
      </c>
      <c r="F66" s="8" t="s">
        <v>89</v>
      </c>
      <c r="G66" s="12"/>
      <c r="H66" s="12"/>
      <c r="I66" s="12"/>
      <c r="J66" s="12"/>
      <c r="K66" s="12"/>
    </row>
    <row r="67" customFormat="false" ht="14.25" hidden="false" customHeight="false" outlineLevel="0" collapsed="false">
      <c r="B67" s="8" t="n">
        <v>28</v>
      </c>
      <c r="C67" s="12" t="s">
        <v>92</v>
      </c>
      <c r="D67" s="8"/>
      <c r="E67" s="8" t="s">
        <v>89</v>
      </c>
      <c r="F67" s="8" t="s">
        <v>89</v>
      </c>
      <c r="G67" s="12"/>
      <c r="H67" s="12"/>
      <c r="I67" s="12"/>
      <c r="J67" s="12"/>
      <c r="K67" s="12"/>
    </row>
    <row r="68" customFormat="false" ht="14.25" hidden="false" customHeight="false" outlineLevel="0" collapsed="false">
      <c r="B68" s="8" t="n">
        <v>29</v>
      </c>
      <c r="C68" s="12" t="s">
        <v>283</v>
      </c>
      <c r="D68" s="8"/>
      <c r="E68" s="8" t="s">
        <v>94</v>
      </c>
      <c r="F68" s="8" t="s">
        <v>94</v>
      </c>
      <c r="G68" s="12"/>
      <c r="H68" s="12"/>
      <c r="I68" s="12"/>
      <c r="J68" s="12"/>
      <c r="K68" s="12"/>
    </row>
    <row r="69" customFormat="false" ht="14.25" hidden="false" customHeight="false" outlineLevel="0" collapsed="false">
      <c r="B69" s="8" t="n">
        <v>30</v>
      </c>
      <c r="C69" s="12" t="s">
        <v>284</v>
      </c>
      <c r="D69" s="8"/>
      <c r="E69" s="8" t="s">
        <v>94</v>
      </c>
      <c r="F69" s="8" t="s">
        <v>94</v>
      </c>
      <c r="G69" s="12"/>
      <c r="H69" s="12"/>
      <c r="I69" s="12"/>
      <c r="J69" s="12"/>
      <c r="K69" s="12"/>
    </row>
    <row r="70" customFormat="false" ht="14.25" hidden="false" customHeight="false" outlineLevel="0" collapsed="false">
      <c r="B70" s="8" t="n">
        <v>31</v>
      </c>
      <c r="C70" s="12" t="s">
        <v>285</v>
      </c>
      <c r="D70" s="8"/>
      <c r="E70" s="8" t="s">
        <v>94</v>
      </c>
      <c r="F70" s="8" t="s">
        <v>94</v>
      </c>
      <c r="G70" s="12"/>
      <c r="H70" s="12"/>
      <c r="I70" s="12"/>
      <c r="J70" s="12"/>
      <c r="K70" s="12"/>
    </row>
    <row r="71" customFormat="false" ht="14.25" hidden="false" customHeight="false" outlineLevel="0" collapsed="false">
      <c r="B71" s="8" t="n">
        <v>32</v>
      </c>
      <c r="C71" s="12" t="s">
        <v>286</v>
      </c>
      <c r="D71" s="8"/>
      <c r="E71" s="8" t="s">
        <v>94</v>
      </c>
      <c r="F71" s="8" t="s">
        <v>94</v>
      </c>
      <c r="G71" s="12"/>
      <c r="H71" s="12"/>
      <c r="I71" s="12"/>
      <c r="J71" s="12"/>
      <c r="K71" s="12"/>
    </row>
    <row r="72" customFormat="false" ht="14.25" hidden="false" customHeight="false" outlineLevel="0" collapsed="false">
      <c r="B72" s="8"/>
      <c r="C72" s="12"/>
      <c r="D72" s="8"/>
      <c r="E72" s="8"/>
      <c r="F72" s="8"/>
      <c r="G72" s="12"/>
      <c r="H72" s="12"/>
      <c r="I72" s="12"/>
      <c r="J72" s="12"/>
      <c r="K72" s="12"/>
    </row>
    <row r="73" customFormat="false" ht="14.25" hidden="false" customHeight="false" outlineLevel="0" collapsed="false">
      <c r="A73" s="2" t="s">
        <v>287</v>
      </c>
      <c r="B73" s="8" t="n">
        <v>1</v>
      </c>
      <c r="C73" s="12" t="s">
        <v>105</v>
      </c>
      <c r="D73" s="8" t="s">
        <v>106</v>
      </c>
      <c r="E73" s="8" t="s">
        <v>107</v>
      </c>
      <c r="F73" s="8" t="s">
        <v>107</v>
      </c>
      <c r="G73" s="12"/>
      <c r="H73" s="12"/>
      <c r="I73" s="12"/>
      <c r="J73" s="12"/>
      <c r="K73" s="12"/>
    </row>
    <row r="74" customFormat="false" ht="14.25" hidden="false" customHeight="false" outlineLevel="0" collapsed="false">
      <c r="A74" s="2" t="s">
        <v>288</v>
      </c>
      <c r="B74" s="8" t="n">
        <v>2</v>
      </c>
      <c r="C74" s="12" t="s">
        <v>108</v>
      </c>
      <c r="D74" s="8" t="s">
        <v>106</v>
      </c>
      <c r="E74" s="8" t="s">
        <v>107</v>
      </c>
      <c r="F74" s="8" t="s">
        <v>107</v>
      </c>
      <c r="G74" s="12"/>
      <c r="H74" s="12"/>
      <c r="I74" s="12"/>
      <c r="J74" s="12"/>
      <c r="K74" s="12"/>
    </row>
    <row r="75" customFormat="false" ht="14.25" hidden="false" customHeight="false" outlineLevel="0" collapsed="false">
      <c r="A75" s="2" t="s">
        <v>40</v>
      </c>
      <c r="B75" s="8" t="n">
        <v>3</v>
      </c>
      <c r="C75" s="12" t="s">
        <v>40</v>
      </c>
      <c r="D75" s="8" t="s">
        <v>106</v>
      </c>
      <c r="E75" s="8" t="s">
        <v>107</v>
      </c>
      <c r="F75" s="8" t="s">
        <v>107</v>
      </c>
      <c r="G75" s="12"/>
      <c r="H75" s="12"/>
      <c r="I75" s="12"/>
      <c r="J75" s="12"/>
      <c r="K75" s="12"/>
    </row>
    <row r="76" customFormat="false" ht="14.25" hidden="false" customHeight="false" outlineLevel="0" collapsed="false">
      <c r="A76" s="2" t="s">
        <v>289</v>
      </c>
      <c r="B76" s="8" t="n">
        <v>4</v>
      </c>
      <c r="C76" s="12" t="s">
        <v>109</v>
      </c>
      <c r="D76" s="8" t="s">
        <v>106</v>
      </c>
      <c r="E76" s="8" t="s">
        <v>107</v>
      </c>
      <c r="F76" s="8" t="s">
        <v>107</v>
      </c>
      <c r="G76" s="12"/>
      <c r="H76" s="12"/>
      <c r="I76" s="12"/>
      <c r="J76" s="12"/>
      <c r="K76" s="12"/>
    </row>
    <row r="77" customFormat="false" ht="14.25" hidden="false" customHeight="false" outlineLevel="0" collapsed="false">
      <c r="A77" s="2" t="s">
        <v>110</v>
      </c>
      <c r="B77" s="8" t="n">
        <v>5</v>
      </c>
      <c r="C77" s="12" t="s">
        <v>110</v>
      </c>
      <c r="D77" s="8" t="s">
        <v>106</v>
      </c>
      <c r="E77" s="8" t="s">
        <v>107</v>
      </c>
      <c r="F77" s="8" t="s">
        <v>107</v>
      </c>
      <c r="G77" s="12"/>
      <c r="H77" s="12"/>
      <c r="I77" s="12"/>
      <c r="J77" s="12"/>
      <c r="K77" s="12"/>
    </row>
    <row r="78" customFormat="false" ht="14.25" hidden="false" customHeight="false" outlineLevel="0" collapsed="false">
      <c r="A78" s="2" t="s">
        <v>235</v>
      </c>
      <c r="B78" s="8" t="n">
        <v>6</v>
      </c>
      <c r="C78" s="12" t="s">
        <v>111</v>
      </c>
      <c r="D78" s="8" t="s">
        <v>106</v>
      </c>
      <c r="E78" s="8" t="s">
        <v>107</v>
      </c>
      <c r="F78" s="8" t="s">
        <v>107</v>
      </c>
      <c r="G78" s="12"/>
      <c r="H78" s="12"/>
      <c r="I78" s="12"/>
      <c r="J78" s="12"/>
      <c r="K78" s="12"/>
    </row>
    <row r="79" customFormat="false" ht="14.25" hidden="false" customHeight="false" outlineLevel="0" collapsed="false">
      <c r="A79" s="2" t="s">
        <v>112</v>
      </c>
      <c r="B79" s="8" t="n">
        <v>7</v>
      </c>
      <c r="C79" s="12" t="s">
        <v>112</v>
      </c>
      <c r="D79" s="8" t="s">
        <v>106</v>
      </c>
      <c r="E79" s="8" t="s">
        <v>107</v>
      </c>
      <c r="F79" s="8" t="s">
        <v>107</v>
      </c>
      <c r="G79" s="12"/>
      <c r="H79" s="12"/>
      <c r="I79" s="12"/>
      <c r="J79" s="12"/>
      <c r="K79" s="12"/>
    </row>
    <row r="80" customFormat="false" ht="14.25" hidden="false" customHeight="false" outlineLevel="0" collapsed="false">
      <c r="A80" s="2" t="s">
        <v>290</v>
      </c>
      <c r="B80" s="8" t="n">
        <v>8</v>
      </c>
      <c r="C80" s="12" t="s">
        <v>113</v>
      </c>
      <c r="D80" s="8" t="s">
        <v>106</v>
      </c>
      <c r="E80" s="8" t="s">
        <v>107</v>
      </c>
      <c r="F80" s="8" t="s">
        <v>107</v>
      </c>
      <c r="G80" s="12"/>
      <c r="H80" s="12"/>
      <c r="I80" s="12"/>
      <c r="J80" s="12"/>
      <c r="K80" s="12"/>
    </row>
    <row r="81" customFormat="false" ht="14.25" hidden="false" customHeight="false" outlineLevel="0" collapsed="false">
      <c r="A81" s="2" t="s">
        <v>114</v>
      </c>
      <c r="B81" s="8" t="n">
        <v>9</v>
      </c>
      <c r="C81" s="12" t="s">
        <v>114</v>
      </c>
      <c r="D81" s="8" t="s">
        <v>106</v>
      </c>
      <c r="E81" s="8" t="s">
        <v>107</v>
      </c>
      <c r="F81" s="8" t="s">
        <v>107</v>
      </c>
      <c r="G81" s="12"/>
      <c r="H81" s="12"/>
      <c r="I81" s="12"/>
      <c r="J81" s="12"/>
      <c r="K81" s="12"/>
    </row>
    <row r="82" customFormat="false" ht="14.25" hidden="false" customHeight="false" outlineLevel="0" collapsed="false">
      <c r="A82" s="2" t="s">
        <v>291</v>
      </c>
      <c r="B82" s="8" t="n">
        <v>10</v>
      </c>
      <c r="C82" s="12" t="s">
        <v>115</v>
      </c>
      <c r="D82" s="8" t="s">
        <v>106</v>
      </c>
      <c r="E82" s="8" t="s">
        <v>107</v>
      </c>
      <c r="F82" s="8" t="s">
        <v>107</v>
      </c>
      <c r="G82" s="12"/>
      <c r="H82" s="12"/>
      <c r="I82" s="12"/>
      <c r="J82" s="12"/>
      <c r="K82" s="12"/>
    </row>
    <row r="83" customFormat="false" ht="14.25" hidden="false" customHeight="false" outlineLevel="0" collapsed="false">
      <c r="A83" s="2" t="s">
        <v>145</v>
      </c>
      <c r="B83" s="8" t="n">
        <v>11</v>
      </c>
      <c r="C83" s="12" t="s">
        <v>116</v>
      </c>
      <c r="D83" s="8" t="s">
        <v>106</v>
      </c>
      <c r="E83" s="8" t="s">
        <v>107</v>
      </c>
      <c r="F83" s="8" t="s">
        <v>107</v>
      </c>
      <c r="G83" s="12"/>
      <c r="H83" s="12"/>
      <c r="I83" s="12"/>
      <c r="J83" s="12"/>
      <c r="K83" s="12"/>
    </row>
    <row r="84" customFormat="false" ht="14.25" hidden="false" customHeight="false" outlineLevel="0" collapsed="false">
      <c r="A84" s="2" t="s">
        <v>117</v>
      </c>
      <c r="B84" s="8" t="n">
        <v>12</v>
      </c>
      <c r="C84" s="12" t="s">
        <v>117</v>
      </c>
      <c r="D84" s="8" t="s">
        <v>106</v>
      </c>
      <c r="E84" s="8" t="s">
        <v>107</v>
      </c>
      <c r="F84" s="8" t="s">
        <v>107</v>
      </c>
      <c r="G84" s="12"/>
      <c r="H84" s="12"/>
      <c r="I84" s="12"/>
      <c r="J84" s="12"/>
      <c r="K84" s="12"/>
    </row>
    <row r="85" customFormat="false" ht="14.25" hidden="false" customHeight="false" outlineLevel="0" collapsed="false">
      <c r="A85" s="2" t="s">
        <v>292</v>
      </c>
      <c r="B85" s="8" t="n">
        <v>13</v>
      </c>
      <c r="C85" s="12" t="s">
        <v>118</v>
      </c>
      <c r="D85" s="8" t="s">
        <v>106</v>
      </c>
      <c r="E85" s="8" t="s">
        <v>107</v>
      </c>
      <c r="F85" s="8" t="s">
        <v>107</v>
      </c>
      <c r="G85" s="12"/>
      <c r="H85" s="12"/>
      <c r="I85" s="12"/>
      <c r="J85" s="12"/>
      <c r="K85" s="12"/>
    </row>
    <row r="86" customFormat="false" ht="14.25" hidden="false" customHeight="false" outlineLevel="0" collapsed="false">
      <c r="A86" s="2" t="s">
        <v>293</v>
      </c>
      <c r="B86" s="8" t="n">
        <v>14</v>
      </c>
      <c r="C86" s="12" t="s">
        <v>119</v>
      </c>
      <c r="D86" s="8" t="s">
        <v>106</v>
      </c>
      <c r="E86" s="8" t="s">
        <v>107</v>
      </c>
      <c r="F86" s="8" t="s">
        <v>107</v>
      </c>
      <c r="G86" s="12"/>
      <c r="H86" s="12"/>
      <c r="I86" s="12"/>
      <c r="J86" s="12"/>
      <c r="K86" s="12"/>
    </row>
    <row r="87" customFormat="false" ht="14.25" hidden="false" customHeight="false" outlineLevel="0" collapsed="false">
      <c r="A87" s="2" t="s">
        <v>294</v>
      </c>
      <c r="B87" s="8" t="n">
        <v>15</v>
      </c>
      <c r="C87" s="12" t="s">
        <v>120</v>
      </c>
      <c r="D87" s="8" t="s">
        <v>106</v>
      </c>
      <c r="E87" s="8" t="s">
        <v>107</v>
      </c>
      <c r="F87" s="8" t="s">
        <v>107</v>
      </c>
      <c r="G87" s="12"/>
      <c r="H87" s="12"/>
      <c r="I87" s="12"/>
      <c r="J87" s="12"/>
      <c r="K87" s="12"/>
    </row>
    <row r="88" customFormat="false" ht="14.25" hidden="false" customHeight="false" outlineLevel="0" collapsed="false">
      <c r="A88" s="2" t="s">
        <v>295</v>
      </c>
      <c r="B88" s="8" t="n">
        <v>16</v>
      </c>
      <c r="C88" s="12" t="s">
        <v>121</v>
      </c>
      <c r="D88" s="8" t="s">
        <v>106</v>
      </c>
      <c r="E88" s="8" t="s">
        <v>107</v>
      </c>
      <c r="F88" s="8" t="s">
        <v>107</v>
      </c>
      <c r="G88" s="12"/>
      <c r="H88" s="12"/>
      <c r="I88" s="12"/>
      <c r="J88" s="12"/>
      <c r="K88" s="12"/>
    </row>
    <row r="89" customFormat="false" ht="14.25" hidden="false" customHeight="false" outlineLevel="0" collapsed="false">
      <c r="A89" s="2" t="s">
        <v>296</v>
      </c>
      <c r="B89" s="8" t="n">
        <v>17</v>
      </c>
      <c r="C89" s="12" t="s">
        <v>122</v>
      </c>
      <c r="D89" s="8" t="s">
        <v>106</v>
      </c>
      <c r="E89" s="8" t="s">
        <v>107</v>
      </c>
      <c r="F89" s="8" t="s">
        <v>107</v>
      </c>
      <c r="G89" s="12"/>
      <c r="H89" s="12"/>
      <c r="I89" s="12"/>
      <c r="J89" s="12"/>
      <c r="K89" s="12"/>
    </row>
    <row r="90" customFormat="false" ht="14.25" hidden="false" customHeight="false" outlineLevel="0" collapsed="false">
      <c r="A90" s="2" t="s">
        <v>297</v>
      </c>
      <c r="B90" s="8" t="n">
        <v>18</v>
      </c>
      <c r="C90" s="12" t="s">
        <v>123</v>
      </c>
      <c r="D90" s="8" t="s">
        <v>106</v>
      </c>
      <c r="E90" s="8" t="s">
        <v>107</v>
      </c>
      <c r="F90" s="8" t="s">
        <v>107</v>
      </c>
      <c r="G90" s="12"/>
      <c r="H90" s="12"/>
      <c r="I90" s="12"/>
      <c r="J90" s="12"/>
      <c r="K90" s="12"/>
    </row>
    <row r="91" customFormat="false" ht="14.25" hidden="false" customHeight="false" outlineLevel="0" collapsed="false">
      <c r="A91" s="2" t="s">
        <v>298</v>
      </c>
      <c r="B91" s="8" t="n">
        <v>19</v>
      </c>
      <c r="C91" s="12" t="s">
        <v>124</v>
      </c>
      <c r="D91" s="8" t="s">
        <v>106</v>
      </c>
      <c r="E91" s="8" t="s">
        <v>107</v>
      </c>
      <c r="F91" s="8" t="s">
        <v>107</v>
      </c>
      <c r="G91" s="12"/>
      <c r="H91" s="12"/>
      <c r="I91" s="12"/>
      <c r="J91" s="12"/>
      <c r="K91" s="12"/>
    </row>
    <row r="92" customFormat="false" ht="14.25" hidden="false" customHeight="false" outlineLevel="0" collapsed="false">
      <c r="A92" s="2" t="s">
        <v>299</v>
      </c>
      <c r="B92" s="8" t="n">
        <v>20</v>
      </c>
      <c r="C92" s="12" t="s">
        <v>125</v>
      </c>
      <c r="D92" s="8" t="s">
        <v>106</v>
      </c>
      <c r="E92" s="8" t="s">
        <v>107</v>
      </c>
      <c r="F92" s="8" t="s">
        <v>107</v>
      </c>
      <c r="G92" s="12"/>
      <c r="H92" s="12"/>
      <c r="I92" s="12"/>
      <c r="J92" s="12"/>
      <c r="K92" s="12"/>
    </row>
    <row r="93" customFormat="false" ht="14.25" hidden="false" customHeight="false" outlineLevel="0" collapsed="false">
      <c r="A93" s="2" t="s">
        <v>300</v>
      </c>
      <c r="B93" s="8" t="n">
        <v>21</v>
      </c>
      <c r="C93" s="12" t="s">
        <v>126</v>
      </c>
      <c r="D93" s="8" t="s">
        <v>106</v>
      </c>
      <c r="E93" s="8" t="s">
        <v>107</v>
      </c>
      <c r="F93" s="8" t="s">
        <v>107</v>
      </c>
      <c r="G93" s="12"/>
      <c r="H93" s="12"/>
      <c r="I93" s="12"/>
      <c r="J93" s="12"/>
      <c r="K93" s="12"/>
    </row>
    <row r="94" customFormat="false" ht="14.25" hidden="false" customHeight="false" outlineLevel="0" collapsed="false">
      <c r="A94" s="2" t="s">
        <v>301</v>
      </c>
      <c r="B94" s="8" t="n">
        <v>22</v>
      </c>
      <c r="C94" s="12" t="s">
        <v>127</v>
      </c>
      <c r="D94" s="8" t="s">
        <v>106</v>
      </c>
      <c r="E94" s="8" t="s">
        <v>107</v>
      </c>
      <c r="F94" s="8" t="s">
        <v>107</v>
      </c>
      <c r="G94" s="12"/>
      <c r="H94" s="12"/>
      <c r="I94" s="12"/>
      <c r="J94" s="12"/>
      <c r="K94" s="12"/>
    </row>
    <row r="95" customFormat="false" ht="14.25" hidden="false" customHeight="false" outlineLevel="0" collapsed="false">
      <c r="A95" s="2" t="s">
        <v>302</v>
      </c>
      <c r="B95" s="8" t="n">
        <v>23</v>
      </c>
      <c r="C95" s="12" t="s">
        <v>128</v>
      </c>
      <c r="D95" s="8" t="s">
        <v>106</v>
      </c>
      <c r="E95" s="8" t="s">
        <v>107</v>
      </c>
      <c r="F95" s="8" t="s">
        <v>107</v>
      </c>
      <c r="G95" s="12"/>
      <c r="H95" s="12"/>
      <c r="I95" s="12"/>
      <c r="J95" s="12"/>
      <c r="K95" s="12"/>
    </row>
    <row r="96" customFormat="false" ht="14.25" hidden="false" customHeight="false" outlineLevel="0" collapsed="false">
      <c r="A96" s="2" t="s">
        <v>303</v>
      </c>
      <c r="B96" s="8" t="n">
        <v>24</v>
      </c>
      <c r="C96" s="12" t="s">
        <v>129</v>
      </c>
      <c r="D96" s="8" t="s">
        <v>106</v>
      </c>
      <c r="E96" s="8" t="s">
        <v>107</v>
      </c>
      <c r="F96" s="8" t="s">
        <v>107</v>
      </c>
      <c r="G96" s="12"/>
      <c r="H96" s="12"/>
      <c r="I96" s="12"/>
      <c r="J96" s="12"/>
      <c r="K96" s="12"/>
    </row>
    <row r="97" customFormat="false" ht="14.25" hidden="false" customHeight="false" outlineLevel="0" collapsed="false">
      <c r="A97" s="2" t="s">
        <v>304</v>
      </c>
      <c r="B97" s="8" t="n">
        <v>25</v>
      </c>
      <c r="C97" s="12" t="s">
        <v>130</v>
      </c>
      <c r="D97" s="8" t="s">
        <v>106</v>
      </c>
      <c r="E97" s="8" t="s">
        <v>107</v>
      </c>
      <c r="F97" s="8" t="s">
        <v>107</v>
      </c>
      <c r="G97" s="12"/>
      <c r="H97" s="12"/>
      <c r="I97" s="12"/>
      <c r="J97" s="12"/>
      <c r="K97" s="12"/>
    </row>
    <row r="98" customFormat="false" ht="14.25" hidden="false" customHeight="false" outlineLevel="0" collapsed="false">
      <c r="A98" s="2" t="s">
        <v>305</v>
      </c>
      <c r="B98" s="8" t="n">
        <v>26</v>
      </c>
      <c r="C98" s="12" t="s">
        <v>131</v>
      </c>
      <c r="D98" s="8" t="s">
        <v>106</v>
      </c>
      <c r="E98" s="8" t="s">
        <v>107</v>
      </c>
      <c r="F98" s="8" t="s">
        <v>107</v>
      </c>
      <c r="G98" s="12"/>
      <c r="H98" s="12"/>
      <c r="I98" s="12"/>
      <c r="J98" s="12"/>
      <c r="K98" s="12"/>
    </row>
    <row r="99" customFormat="false" ht="14.25" hidden="false" customHeight="false" outlineLevel="0" collapsed="false">
      <c r="A99" s="2" t="s">
        <v>306</v>
      </c>
      <c r="B99" s="8" t="n">
        <v>27</v>
      </c>
      <c r="C99" s="12" t="s">
        <v>132</v>
      </c>
      <c r="D99" s="8" t="s">
        <v>106</v>
      </c>
      <c r="E99" s="8" t="s">
        <v>107</v>
      </c>
      <c r="F99" s="8" t="s">
        <v>107</v>
      </c>
      <c r="G99" s="12"/>
      <c r="H99" s="12"/>
      <c r="I99" s="12"/>
      <c r="J99" s="12"/>
      <c r="K99" s="12"/>
    </row>
    <row r="100" customFormat="false" ht="14.25" hidden="false" customHeight="false" outlineLevel="0" collapsed="false">
      <c r="A100" s="2" t="s">
        <v>307</v>
      </c>
      <c r="B100" s="8" t="n">
        <v>28</v>
      </c>
      <c r="C100" s="12" t="s">
        <v>133</v>
      </c>
      <c r="D100" s="8" t="s">
        <v>106</v>
      </c>
      <c r="E100" s="8" t="s">
        <v>107</v>
      </c>
      <c r="F100" s="8" t="s">
        <v>107</v>
      </c>
      <c r="G100" s="12"/>
      <c r="H100" s="12"/>
      <c r="I100" s="12"/>
      <c r="J100" s="12"/>
      <c r="K100" s="12"/>
    </row>
    <row r="101" customFormat="false" ht="14.25" hidden="false" customHeight="false" outlineLevel="0" collapsed="false">
      <c r="A101" s="2" t="s">
        <v>308</v>
      </c>
      <c r="B101" s="8" t="n">
        <v>29</v>
      </c>
      <c r="C101" s="12" t="s">
        <v>134</v>
      </c>
      <c r="D101" s="8" t="s">
        <v>106</v>
      </c>
      <c r="E101" s="8" t="s">
        <v>107</v>
      </c>
      <c r="F101" s="8" t="s">
        <v>107</v>
      </c>
      <c r="G101" s="12"/>
      <c r="H101" s="12"/>
      <c r="I101" s="12"/>
      <c r="J101" s="12"/>
      <c r="K101" s="12"/>
    </row>
    <row r="102" customFormat="false" ht="14.25" hidden="false" customHeight="false" outlineLevel="0" collapsed="false">
      <c r="A102" s="2" t="s">
        <v>309</v>
      </c>
      <c r="B102" s="8" t="n">
        <v>30</v>
      </c>
      <c r="C102" s="12" t="s">
        <v>135</v>
      </c>
      <c r="D102" s="8" t="s">
        <v>106</v>
      </c>
      <c r="E102" s="8" t="s">
        <v>107</v>
      </c>
      <c r="F102" s="8" t="s">
        <v>107</v>
      </c>
      <c r="G102" s="12"/>
      <c r="H102" s="12"/>
      <c r="I102" s="12"/>
      <c r="J102" s="12"/>
      <c r="K102" s="12"/>
    </row>
    <row r="103" customFormat="false" ht="14.25" hidden="false" customHeight="false" outlineLevel="0" collapsed="false">
      <c r="A103" s="2" t="s">
        <v>310</v>
      </c>
      <c r="B103" s="8" t="n">
        <v>31</v>
      </c>
      <c r="C103" s="12" t="s">
        <v>136</v>
      </c>
      <c r="D103" s="8" t="s">
        <v>106</v>
      </c>
      <c r="E103" s="8" t="s">
        <v>107</v>
      </c>
      <c r="F103" s="8" t="s">
        <v>107</v>
      </c>
      <c r="G103" s="12"/>
      <c r="H103" s="12"/>
      <c r="I103" s="12"/>
      <c r="J103" s="12"/>
      <c r="K103" s="12"/>
    </row>
    <row r="104" customFormat="false" ht="14.25" hidden="false" customHeight="false" outlineLevel="0" collapsed="false">
      <c r="A104" s="2" t="s">
        <v>311</v>
      </c>
      <c r="B104" s="8" t="n">
        <v>32</v>
      </c>
      <c r="C104" s="12" t="s">
        <v>137</v>
      </c>
      <c r="D104" s="8" t="s">
        <v>106</v>
      </c>
      <c r="E104" s="8" t="s">
        <v>107</v>
      </c>
      <c r="F104" s="8" t="s">
        <v>107</v>
      </c>
      <c r="G104" s="12"/>
      <c r="H104" s="12"/>
      <c r="I104" s="12"/>
      <c r="J104" s="12"/>
      <c r="K104" s="12"/>
    </row>
    <row r="105" customFormat="false" ht="14.25" hidden="false" customHeight="false" outlineLevel="0" collapsed="false">
      <c r="A105" s="2" t="s">
        <v>312</v>
      </c>
      <c r="B105" s="8" t="n">
        <v>33</v>
      </c>
      <c r="C105" s="12" t="s">
        <v>138</v>
      </c>
      <c r="D105" s="8" t="s">
        <v>106</v>
      </c>
      <c r="E105" s="8" t="s">
        <v>107</v>
      </c>
      <c r="F105" s="8" t="s">
        <v>107</v>
      </c>
      <c r="G105" s="12"/>
      <c r="H105" s="12"/>
      <c r="I105" s="12"/>
      <c r="J105" s="12"/>
      <c r="K105" s="12"/>
    </row>
    <row r="106" customFormat="false" ht="14.25" hidden="false" customHeight="false" outlineLevel="0" collapsed="false">
      <c r="A106" s="2" t="s">
        <v>313</v>
      </c>
      <c r="B106" s="8" t="n">
        <v>34</v>
      </c>
      <c r="C106" s="12" t="s">
        <v>139</v>
      </c>
      <c r="D106" s="8" t="s">
        <v>106</v>
      </c>
      <c r="E106" s="8" t="s">
        <v>107</v>
      </c>
      <c r="F106" s="8" t="s">
        <v>107</v>
      </c>
      <c r="G106" s="12"/>
      <c r="H106" s="12"/>
      <c r="I106" s="12"/>
      <c r="J106" s="12"/>
      <c r="K106" s="12"/>
    </row>
    <row r="107" customFormat="false" ht="14.25" hidden="false" customHeight="false" outlineLevel="0" collapsed="false">
      <c r="A107" s="2" t="s">
        <v>314</v>
      </c>
      <c r="B107" s="8" t="n">
        <v>35</v>
      </c>
      <c r="C107" s="12" t="s">
        <v>141</v>
      </c>
      <c r="D107" s="8" t="s">
        <v>106</v>
      </c>
      <c r="E107" s="8" t="s">
        <v>107</v>
      </c>
      <c r="F107" s="8" t="s">
        <v>107</v>
      </c>
      <c r="G107" s="12"/>
      <c r="H107" s="12"/>
      <c r="I107" s="12"/>
      <c r="J107" s="12"/>
      <c r="K107" s="12"/>
    </row>
    <row r="108" customFormat="false" ht="14.25" hidden="false" customHeight="false" outlineLevel="0" collapsed="false">
      <c r="B108" s="8"/>
      <c r="C108" s="12"/>
      <c r="D108" s="8"/>
      <c r="E108" s="8"/>
      <c r="F108" s="8"/>
      <c r="G108" s="12"/>
      <c r="H108" s="12"/>
      <c r="I108" s="12"/>
      <c r="J108" s="12"/>
      <c r="K108" s="12"/>
    </row>
    <row r="109" customFormat="false" ht="14.25" hidden="false" customHeight="false" outlineLevel="0" collapsed="false">
      <c r="B109" s="8"/>
      <c r="C109" s="12"/>
      <c r="D109" s="8"/>
      <c r="E109" s="8"/>
      <c r="F109" s="8"/>
      <c r="G109" s="12"/>
      <c r="H109" s="12"/>
      <c r="I109" s="12"/>
      <c r="J109" s="12"/>
      <c r="K109" s="12"/>
    </row>
    <row r="110" customFormat="false" ht="14.25" hidden="false" customHeight="false" outlineLevel="0" collapsed="false">
      <c r="B110" s="8" t="n">
        <v>1</v>
      </c>
      <c r="C110" s="12" t="s">
        <v>315</v>
      </c>
      <c r="D110" s="8"/>
      <c r="E110" s="8" t="s">
        <v>177</v>
      </c>
      <c r="F110" s="8" t="s">
        <v>178</v>
      </c>
      <c r="G110" s="12"/>
      <c r="H110" s="12"/>
      <c r="I110" s="12"/>
      <c r="J110" s="12"/>
      <c r="K110" s="12"/>
    </row>
    <row r="111" customFormat="false" ht="14.25" hidden="false" customHeight="false" outlineLevel="0" collapsed="false">
      <c r="B111" s="8" t="n">
        <v>2</v>
      </c>
      <c r="C111" s="12" t="s">
        <v>179</v>
      </c>
      <c r="D111" s="8"/>
      <c r="E111" s="8" t="s">
        <v>177</v>
      </c>
      <c r="F111" s="8" t="s">
        <v>178</v>
      </c>
      <c r="G111" s="12"/>
      <c r="H111" s="12"/>
      <c r="I111" s="12"/>
      <c r="J111" s="12"/>
      <c r="K111" s="12"/>
    </row>
    <row r="112" customFormat="false" ht="14.25" hidden="false" customHeight="false" outlineLevel="0" collapsed="false">
      <c r="B112" s="8" t="n">
        <v>3</v>
      </c>
      <c r="C112" s="12" t="s">
        <v>180</v>
      </c>
      <c r="D112" s="8"/>
      <c r="E112" s="8" t="s">
        <v>177</v>
      </c>
      <c r="F112" s="8" t="s">
        <v>178</v>
      </c>
      <c r="G112" s="12"/>
      <c r="H112" s="12"/>
      <c r="I112" s="12"/>
      <c r="J112" s="12"/>
      <c r="K112" s="12"/>
    </row>
    <row r="113" customFormat="false" ht="14.25" hidden="false" customHeight="false" outlineLevel="0" collapsed="false">
      <c r="B113" s="8" t="n">
        <v>4</v>
      </c>
      <c r="C113" s="12" t="s">
        <v>181</v>
      </c>
      <c r="D113" s="8"/>
      <c r="E113" s="8" t="s">
        <v>177</v>
      </c>
      <c r="F113" s="8" t="s">
        <v>178</v>
      </c>
      <c r="G113" s="12"/>
      <c r="H113" s="12"/>
      <c r="I113" s="12"/>
      <c r="J113" s="12"/>
      <c r="K113" s="12"/>
    </row>
    <row r="114" customFormat="false" ht="14.25" hidden="false" customHeight="false" outlineLevel="0" collapsed="false">
      <c r="B114" s="8" t="n">
        <v>5</v>
      </c>
      <c r="C114" s="12" t="s">
        <v>182</v>
      </c>
      <c r="D114" s="8"/>
      <c r="E114" s="8" t="s">
        <v>177</v>
      </c>
      <c r="F114" s="8" t="s">
        <v>178</v>
      </c>
      <c r="G114" s="12"/>
      <c r="H114" s="12"/>
      <c r="I114" s="12"/>
      <c r="J114" s="12"/>
      <c r="K114" s="12"/>
    </row>
    <row r="115" customFormat="false" ht="14.25" hidden="false" customHeight="false" outlineLevel="0" collapsed="false">
      <c r="B115" s="8" t="n">
        <v>6</v>
      </c>
      <c r="C115" s="12" t="s">
        <v>183</v>
      </c>
      <c r="D115" s="8"/>
      <c r="E115" s="8" t="s">
        <v>177</v>
      </c>
      <c r="F115" s="8" t="s">
        <v>178</v>
      </c>
      <c r="G115" s="12"/>
      <c r="H115" s="12"/>
      <c r="I115" s="12"/>
      <c r="J115" s="12"/>
      <c r="K115" s="12"/>
    </row>
    <row r="116" customFormat="false" ht="14.25" hidden="false" customHeight="false" outlineLevel="0" collapsed="false">
      <c r="B116" s="8" t="n">
        <v>7</v>
      </c>
      <c r="C116" s="12" t="s">
        <v>316</v>
      </c>
      <c r="D116" s="8"/>
      <c r="E116" s="8" t="s">
        <v>177</v>
      </c>
      <c r="F116" s="8" t="s">
        <v>178</v>
      </c>
      <c r="G116" s="12"/>
      <c r="H116" s="12"/>
      <c r="I116" s="12"/>
      <c r="J116" s="12"/>
      <c r="K116" s="12"/>
    </row>
    <row r="117" customFormat="false" ht="14.25" hidden="false" customHeight="false" outlineLevel="0" collapsed="false">
      <c r="B117" s="8" t="n">
        <v>8</v>
      </c>
      <c r="C117" s="12" t="s">
        <v>185</v>
      </c>
      <c r="D117" s="8"/>
      <c r="E117" s="8" t="s">
        <v>186</v>
      </c>
      <c r="F117" s="8" t="s">
        <v>186</v>
      </c>
      <c r="G117" s="12"/>
      <c r="H117" s="12"/>
      <c r="I117" s="12"/>
      <c r="J117" s="12"/>
      <c r="K117" s="12"/>
    </row>
    <row r="118" customFormat="false" ht="14.25" hidden="false" customHeight="false" outlineLevel="0" collapsed="false">
      <c r="B118" s="8" t="n">
        <v>9</v>
      </c>
      <c r="C118" s="12" t="s">
        <v>187</v>
      </c>
      <c r="D118" s="8"/>
      <c r="E118" s="8" t="s">
        <v>186</v>
      </c>
      <c r="F118" s="8" t="s">
        <v>186</v>
      </c>
      <c r="G118" s="12"/>
      <c r="H118" s="12"/>
      <c r="I118" s="12"/>
      <c r="J118" s="12"/>
      <c r="K118" s="12"/>
    </row>
    <row r="119" customFormat="false" ht="14.25" hidden="false" customHeight="false" outlineLevel="0" collapsed="false">
      <c r="B119" s="8" t="n">
        <v>10</v>
      </c>
      <c r="C119" s="12" t="s">
        <v>188</v>
      </c>
      <c r="D119" s="8"/>
      <c r="E119" s="8" t="s">
        <v>186</v>
      </c>
      <c r="F119" s="8" t="s">
        <v>186</v>
      </c>
      <c r="G119" s="12"/>
      <c r="H119" s="12"/>
      <c r="I119" s="12"/>
      <c r="J119" s="12"/>
      <c r="K119" s="12"/>
    </row>
    <row r="120" customFormat="false" ht="14.25" hidden="false" customHeight="false" outlineLevel="0" collapsed="false">
      <c r="B120" s="8" t="n">
        <v>11</v>
      </c>
      <c r="C120" s="12" t="s">
        <v>189</v>
      </c>
      <c r="D120" s="8"/>
      <c r="E120" s="8" t="s">
        <v>186</v>
      </c>
      <c r="F120" s="8" t="s">
        <v>186</v>
      </c>
      <c r="G120" s="12"/>
      <c r="H120" s="12"/>
      <c r="I120" s="12"/>
      <c r="J120" s="12"/>
      <c r="K120" s="12"/>
    </row>
    <row r="121" customFormat="false" ht="14.25" hidden="false" customHeight="false" outlineLevel="0" collapsed="false">
      <c r="B121" s="8" t="n">
        <v>12</v>
      </c>
      <c r="C121" s="12" t="s">
        <v>190</v>
      </c>
      <c r="D121" s="8"/>
      <c r="E121" s="8" t="s">
        <v>186</v>
      </c>
      <c r="F121" s="8" t="s">
        <v>186</v>
      </c>
      <c r="G121" s="12"/>
      <c r="H121" s="12"/>
      <c r="I121" s="12"/>
      <c r="J121" s="12"/>
      <c r="K121" s="12"/>
    </row>
    <row r="122" customFormat="false" ht="14.25" hidden="false" customHeight="false" outlineLevel="0" collapsed="false">
      <c r="B122" s="8" t="n">
        <v>13</v>
      </c>
      <c r="C122" s="12" t="s">
        <v>191</v>
      </c>
      <c r="D122" s="8"/>
      <c r="E122" s="8" t="s">
        <v>186</v>
      </c>
      <c r="F122" s="8" t="s">
        <v>186</v>
      </c>
      <c r="G122" s="12"/>
      <c r="H122" s="12"/>
      <c r="I122" s="12"/>
      <c r="J122" s="12"/>
      <c r="K122" s="12"/>
    </row>
    <row r="123" customFormat="false" ht="14.25" hidden="false" customHeight="false" outlineLevel="0" collapsed="false">
      <c r="B123" s="8" t="n">
        <v>14</v>
      </c>
      <c r="C123" s="12" t="s">
        <v>192</v>
      </c>
      <c r="D123" s="8"/>
      <c r="E123" s="8" t="s">
        <v>186</v>
      </c>
      <c r="F123" s="8" t="s">
        <v>186</v>
      </c>
      <c r="G123" s="12"/>
      <c r="H123" s="12"/>
      <c r="I123" s="12"/>
      <c r="J123" s="12"/>
      <c r="K123" s="12"/>
    </row>
    <row r="124" customFormat="false" ht="14.25" hidden="false" customHeight="false" outlineLevel="0" collapsed="false">
      <c r="B124" s="8" t="n">
        <v>15</v>
      </c>
      <c r="C124" s="12" t="s">
        <v>193</v>
      </c>
      <c r="D124" s="8"/>
      <c r="E124" s="8" t="s">
        <v>194</v>
      </c>
      <c r="F124" s="8" t="s">
        <v>194</v>
      </c>
      <c r="G124" s="12"/>
      <c r="H124" s="12"/>
      <c r="I124" s="12"/>
      <c r="J124" s="12"/>
      <c r="K124" s="12"/>
    </row>
    <row r="125" customFormat="false" ht="14.25" hidden="false" customHeight="false" outlineLevel="0" collapsed="false">
      <c r="B125" s="8" t="n">
        <v>16</v>
      </c>
      <c r="C125" s="12" t="s">
        <v>195</v>
      </c>
      <c r="D125" s="8"/>
      <c r="E125" s="8" t="s">
        <v>194</v>
      </c>
      <c r="F125" s="8" t="s">
        <v>194</v>
      </c>
      <c r="G125" s="12"/>
      <c r="H125" s="12"/>
      <c r="I125" s="12"/>
      <c r="J125" s="12"/>
      <c r="K125" s="12"/>
    </row>
    <row r="126" customFormat="false" ht="14.25" hidden="false" customHeight="false" outlineLevel="0" collapsed="false">
      <c r="B126" s="8" t="n">
        <v>17</v>
      </c>
      <c r="C126" s="12" t="s">
        <v>196</v>
      </c>
      <c r="D126" s="8"/>
      <c r="E126" s="8" t="s">
        <v>194</v>
      </c>
      <c r="F126" s="8" t="s">
        <v>194</v>
      </c>
      <c r="G126" s="12"/>
      <c r="H126" s="12"/>
      <c r="I126" s="12"/>
      <c r="J126" s="12"/>
      <c r="K126" s="12"/>
    </row>
    <row r="127" customFormat="false" ht="14.25" hidden="false" customHeight="false" outlineLevel="0" collapsed="false">
      <c r="B127" s="8" t="n">
        <v>18</v>
      </c>
      <c r="C127" s="12" t="s">
        <v>197</v>
      </c>
      <c r="D127" s="8"/>
      <c r="E127" s="8" t="s">
        <v>194</v>
      </c>
      <c r="F127" s="8" t="s">
        <v>194</v>
      </c>
      <c r="G127" s="12"/>
      <c r="H127" s="12"/>
      <c r="I127" s="12"/>
      <c r="J127" s="12"/>
      <c r="K127" s="12"/>
    </row>
    <row r="128" customFormat="false" ht="14.25" hidden="false" customHeight="false" outlineLevel="0" collapsed="false">
      <c r="B128" s="8" t="n">
        <v>19</v>
      </c>
      <c r="C128" s="12" t="s">
        <v>198</v>
      </c>
      <c r="D128" s="8"/>
      <c r="E128" s="8" t="s">
        <v>194</v>
      </c>
      <c r="F128" s="8" t="s">
        <v>194</v>
      </c>
      <c r="G128" s="12"/>
      <c r="H128" s="12"/>
      <c r="I128" s="12"/>
      <c r="J128" s="12"/>
      <c r="K128" s="12"/>
    </row>
    <row r="129" customFormat="false" ht="14.25" hidden="false" customHeight="false" outlineLevel="0" collapsed="false">
      <c r="B129" s="8" t="n">
        <v>20</v>
      </c>
      <c r="C129" s="12" t="s">
        <v>199</v>
      </c>
      <c r="D129" s="8"/>
      <c r="E129" s="8" t="s">
        <v>194</v>
      </c>
      <c r="F129" s="8" t="s">
        <v>194</v>
      </c>
      <c r="G129" s="12"/>
      <c r="H129" s="12"/>
      <c r="I129" s="12"/>
      <c r="J129" s="12"/>
      <c r="K129" s="12"/>
    </row>
    <row r="130" customFormat="false" ht="14.25" hidden="false" customHeight="false" outlineLevel="0" collapsed="false">
      <c r="B130" s="8" t="n">
        <v>21</v>
      </c>
      <c r="C130" s="12" t="s">
        <v>200</v>
      </c>
      <c r="D130" s="8"/>
      <c r="E130" s="8" t="s">
        <v>194</v>
      </c>
      <c r="F130" s="8" t="s">
        <v>194</v>
      </c>
      <c r="G130" s="12"/>
      <c r="H130" s="12"/>
      <c r="I130" s="12"/>
      <c r="J130" s="12"/>
      <c r="K130" s="12"/>
    </row>
    <row r="131" customFormat="false" ht="14.25" hidden="false" customHeight="false" outlineLevel="0" collapsed="false">
      <c r="B131" s="8" t="n">
        <v>22</v>
      </c>
      <c r="C131" s="12" t="s">
        <v>201</v>
      </c>
      <c r="D131" s="8"/>
      <c r="E131" s="8" t="s">
        <v>194</v>
      </c>
      <c r="F131" s="8" t="s">
        <v>194</v>
      </c>
      <c r="G131" s="12"/>
      <c r="H131" s="12"/>
      <c r="I131" s="12"/>
      <c r="J131" s="12"/>
      <c r="K131" s="12"/>
    </row>
    <row r="132" customFormat="false" ht="14.25" hidden="false" customHeight="false" outlineLevel="0" collapsed="false">
      <c r="B132" s="8" t="n">
        <v>23</v>
      </c>
      <c r="C132" s="12" t="s">
        <v>202</v>
      </c>
      <c r="D132" s="8"/>
      <c r="E132" s="8" t="s">
        <v>194</v>
      </c>
      <c r="F132" s="8" t="s">
        <v>194</v>
      </c>
      <c r="G132" s="12"/>
      <c r="H132" s="12"/>
      <c r="I132" s="12"/>
      <c r="J132" s="12"/>
      <c r="K132" s="12"/>
    </row>
    <row r="133" customFormat="false" ht="14.25" hidden="false" customHeight="false" outlineLevel="0" collapsed="false">
      <c r="B133" s="8" t="n">
        <v>24</v>
      </c>
      <c r="C133" s="12" t="s">
        <v>203</v>
      </c>
      <c r="D133" s="8"/>
      <c r="E133" s="8" t="s">
        <v>194</v>
      </c>
      <c r="F133" s="8" t="s">
        <v>194</v>
      </c>
      <c r="G133" s="12"/>
      <c r="H133" s="12"/>
      <c r="I133" s="12"/>
      <c r="J133" s="12"/>
      <c r="K133" s="12"/>
    </row>
    <row r="134" customFormat="false" ht="14.25" hidden="false" customHeight="false" outlineLevel="0" collapsed="false">
      <c r="B134" s="8"/>
      <c r="C134" s="12"/>
      <c r="D134" s="8"/>
      <c r="E134" s="8"/>
      <c r="F134" s="8"/>
      <c r="G134" s="12"/>
      <c r="H134" s="12"/>
      <c r="I134" s="12"/>
      <c r="J134" s="12"/>
      <c r="K134" s="12"/>
    </row>
    <row r="135" customFormat="false" ht="14.25" hidden="false" customHeight="false" outlineLevel="0" collapsed="false">
      <c r="B135" s="8"/>
      <c r="C135" s="12"/>
      <c r="D135" s="8"/>
      <c r="E135" s="8"/>
      <c r="F135" s="8"/>
      <c r="G135" s="12"/>
      <c r="H135" s="12"/>
      <c r="I135" s="12"/>
      <c r="J135" s="12"/>
      <c r="K135" s="12"/>
    </row>
    <row r="136" customFormat="false" ht="14.25" hidden="false" customHeight="false" outlineLevel="0" collapsed="false">
      <c r="B136" s="8"/>
      <c r="C136" s="12"/>
      <c r="D136" s="8"/>
      <c r="E136" s="8"/>
      <c r="F136" s="8"/>
      <c r="G136" s="12"/>
      <c r="H136" s="12"/>
      <c r="I136" s="12"/>
      <c r="J136" s="12"/>
      <c r="K136" s="12"/>
    </row>
    <row r="137" customFormat="false" ht="14.25" hidden="false" customHeight="false" outlineLevel="0" collapsed="false">
      <c r="B137" s="8"/>
      <c r="C137" s="12"/>
      <c r="D137" s="8"/>
      <c r="E137" s="8"/>
      <c r="F137" s="8"/>
      <c r="G137" s="12"/>
      <c r="H137" s="12"/>
      <c r="I137" s="12"/>
      <c r="J137" s="12"/>
      <c r="K137" s="12"/>
    </row>
    <row r="138" customFormat="false" ht="14.25" hidden="false" customHeight="false" outlineLevel="0" collapsed="false">
      <c r="B138" s="8"/>
      <c r="C138" s="12"/>
      <c r="D138" s="8"/>
      <c r="E138" s="8"/>
      <c r="F138" s="8"/>
      <c r="G138" s="12"/>
      <c r="H138" s="12"/>
      <c r="I138" s="12"/>
      <c r="J138" s="12"/>
      <c r="K138" s="12"/>
    </row>
    <row r="139" customFormat="false" ht="14.25" hidden="false" customHeight="false" outlineLevel="0" collapsed="false">
      <c r="B139" s="8"/>
      <c r="C139" s="12"/>
      <c r="D139" s="8"/>
      <c r="E139" s="8"/>
      <c r="F139" s="8"/>
      <c r="G139" s="12"/>
      <c r="H139" s="12"/>
      <c r="I139" s="12"/>
      <c r="J139" s="12"/>
      <c r="K139" s="12"/>
    </row>
    <row r="140" customFormat="false" ht="14.25" hidden="false" customHeight="false" outlineLevel="0" collapsed="false">
      <c r="B140" s="8"/>
      <c r="C140" s="12"/>
      <c r="D140" s="8"/>
      <c r="E140" s="8"/>
      <c r="F140" s="8"/>
      <c r="G140" s="12"/>
      <c r="H140" s="12"/>
      <c r="I140" s="12"/>
      <c r="J140" s="12"/>
      <c r="K140" s="12"/>
    </row>
    <row r="141" customFormat="false" ht="14.25" hidden="false" customHeight="false" outlineLevel="0" collapsed="false">
      <c r="B141" s="8" t="n">
        <v>1</v>
      </c>
      <c r="C141" s="9" t="s">
        <v>204</v>
      </c>
      <c r="D141" s="8"/>
      <c r="E141" s="8" t="s">
        <v>205</v>
      </c>
      <c r="F141" s="8" t="s">
        <v>205</v>
      </c>
      <c r="G141" s="12"/>
      <c r="H141" s="12"/>
      <c r="I141" s="12"/>
      <c r="J141" s="12"/>
      <c r="K141" s="12"/>
    </row>
    <row r="142" customFormat="false" ht="14.25" hidden="false" customHeight="false" outlineLevel="0" collapsed="false">
      <c r="B142" s="8" t="n">
        <v>2</v>
      </c>
      <c r="C142" s="9" t="s">
        <v>206</v>
      </c>
      <c r="D142" s="8"/>
      <c r="E142" s="8" t="s">
        <v>205</v>
      </c>
      <c r="F142" s="8" t="s">
        <v>205</v>
      </c>
      <c r="G142" s="12"/>
      <c r="H142" s="12"/>
      <c r="I142" s="12"/>
      <c r="J142" s="12"/>
      <c r="K142" s="12"/>
    </row>
    <row r="143" customFormat="false" ht="14.25" hidden="false" customHeight="false" outlineLevel="0" collapsed="false">
      <c r="B143" s="8" t="n">
        <v>3</v>
      </c>
      <c r="C143" s="9" t="s">
        <v>207</v>
      </c>
      <c r="D143" s="10"/>
      <c r="E143" s="8" t="s">
        <v>205</v>
      </c>
      <c r="F143" s="8" t="s">
        <v>205</v>
      </c>
      <c r="G143" s="12"/>
      <c r="H143" s="12"/>
      <c r="I143" s="12"/>
      <c r="J143" s="12"/>
      <c r="K143" s="12"/>
    </row>
    <row r="144" customFormat="false" ht="14.25" hidden="false" customHeight="false" outlineLevel="0" collapsed="false">
      <c r="B144" s="8" t="n">
        <v>4</v>
      </c>
      <c r="C144" s="9" t="s">
        <v>208</v>
      </c>
      <c r="D144" s="10"/>
      <c r="E144" s="8" t="s">
        <v>205</v>
      </c>
      <c r="F144" s="8" t="s">
        <v>205</v>
      </c>
      <c r="G144" s="12"/>
      <c r="H144" s="12"/>
      <c r="I144" s="12"/>
      <c r="J144" s="12"/>
      <c r="K144" s="12"/>
    </row>
    <row r="145" customFormat="false" ht="14.25" hidden="false" customHeight="false" outlineLevel="0" collapsed="false">
      <c r="B145" s="8"/>
      <c r="C145" s="12"/>
      <c r="D145" s="8"/>
      <c r="E145" s="8"/>
      <c r="F145" s="8"/>
      <c r="G145" s="12"/>
      <c r="H145" s="12"/>
      <c r="I145" s="12"/>
      <c r="J145" s="12"/>
      <c r="K145" s="12"/>
    </row>
    <row r="146" customFormat="false" ht="14.25" hidden="false" customHeight="false" outlineLevel="0" collapsed="false">
      <c r="B146" s="8" t="n">
        <v>1</v>
      </c>
      <c r="C146" s="12" t="s">
        <v>209</v>
      </c>
      <c r="D146" s="8"/>
      <c r="E146" s="8" t="s">
        <v>210</v>
      </c>
      <c r="F146" s="8" t="s">
        <v>210</v>
      </c>
      <c r="G146" s="12"/>
      <c r="H146" s="12"/>
      <c r="I146" s="12"/>
      <c r="J146" s="12"/>
      <c r="K146" s="12"/>
    </row>
    <row r="147" customFormat="false" ht="14.25" hidden="false" customHeight="false" outlineLevel="0" collapsed="false">
      <c r="B147" s="8" t="n">
        <v>2</v>
      </c>
      <c r="C147" s="9" t="s">
        <v>211</v>
      </c>
      <c r="D147" s="8"/>
      <c r="E147" s="8" t="s">
        <v>210</v>
      </c>
      <c r="F147" s="8" t="s">
        <v>210</v>
      </c>
      <c r="G147" s="12"/>
      <c r="H147" s="12"/>
      <c r="I147" s="12"/>
      <c r="J147" s="12"/>
      <c r="K147" s="12"/>
    </row>
    <row r="148" customFormat="false" ht="14.25" hidden="false" customHeight="false" outlineLevel="0" collapsed="false">
      <c r="B148" s="8" t="n">
        <v>3</v>
      </c>
      <c r="C148" s="9" t="s">
        <v>212</v>
      </c>
      <c r="D148" s="8"/>
      <c r="E148" s="8" t="s">
        <v>210</v>
      </c>
      <c r="F148" s="8" t="s">
        <v>210</v>
      </c>
      <c r="G148" s="12"/>
      <c r="H148" s="12"/>
      <c r="I148" s="12"/>
      <c r="J148" s="12"/>
      <c r="K148" s="12"/>
    </row>
    <row r="149" customFormat="false" ht="14.25" hidden="false" customHeight="false" outlineLevel="0" collapsed="false">
      <c r="B149" s="8" t="n">
        <v>4</v>
      </c>
      <c r="C149" s="9" t="s">
        <v>213</v>
      </c>
      <c r="D149" s="8"/>
      <c r="E149" s="8" t="s">
        <v>210</v>
      </c>
      <c r="F149" s="8" t="s">
        <v>210</v>
      </c>
      <c r="G149" s="12"/>
      <c r="H149" s="12"/>
      <c r="I149" s="12"/>
      <c r="J149" s="12"/>
      <c r="K149" s="12"/>
    </row>
    <row r="150" customFormat="false" ht="14.25" hidden="false" customHeight="false" outlineLevel="0" collapsed="false">
      <c r="B150" s="8" t="n">
        <v>5</v>
      </c>
      <c r="C150" s="9" t="s">
        <v>214</v>
      </c>
      <c r="D150" s="8"/>
      <c r="E150" s="8" t="s">
        <v>210</v>
      </c>
      <c r="F150" s="8" t="s">
        <v>210</v>
      </c>
      <c r="G150" s="12"/>
      <c r="H150" s="12"/>
      <c r="I150" s="12"/>
      <c r="J150" s="12"/>
      <c r="K150" s="12"/>
    </row>
    <row r="151" customFormat="false" ht="14.25" hidden="false" customHeight="false" outlineLevel="0" collapsed="false">
      <c r="B151" s="8"/>
      <c r="C151" s="12"/>
      <c r="D151" s="8"/>
      <c r="E151" s="8"/>
      <c r="F151" s="8"/>
      <c r="G151" s="12"/>
      <c r="H151" s="12"/>
      <c r="I151" s="12"/>
      <c r="J151" s="12"/>
      <c r="K151" s="12"/>
    </row>
    <row r="152" customFormat="false" ht="14.25" hidden="false" customHeight="false" outlineLevel="0" collapsed="false">
      <c r="B152" s="8"/>
      <c r="C152" s="12"/>
      <c r="D152" s="8"/>
      <c r="E152" s="8"/>
      <c r="F152" s="8"/>
      <c r="G152" s="12"/>
      <c r="H152" s="12"/>
      <c r="I152" s="12"/>
      <c r="J152" s="12"/>
      <c r="K152" s="12"/>
    </row>
    <row r="153" customFormat="false" ht="14.25" hidden="false" customHeight="false" outlineLevel="0" collapsed="false">
      <c r="B153" s="8"/>
      <c r="C153" s="12"/>
      <c r="D153" s="8"/>
      <c r="E153" s="8"/>
      <c r="F153" s="8"/>
      <c r="G153" s="12"/>
      <c r="H153" s="12"/>
      <c r="I153" s="12"/>
      <c r="J153" s="12"/>
      <c r="K153" s="12"/>
    </row>
    <row r="154" customFormat="false" ht="14.25" hidden="false" customHeight="false" outlineLevel="0" collapsed="false">
      <c r="B154" s="8"/>
      <c r="C154" s="12"/>
      <c r="D154" s="8"/>
      <c r="E154" s="8"/>
      <c r="F154" s="8"/>
      <c r="G154" s="12"/>
      <c r="H154" s="12"/>
      <c r="I154" s="12"/>
      <c r="J154" s="12"/>
      <c r="K154" s="12"/>
    </row>
    <row r="155" customFormat="false" ht="14.25" hidden="false" customHeight="false" outlineLevel="0" collapsed="false">
      <c r="B155" s="8"/>
      <c r="C155" s="12"/>
      <c r="D155" s="8"/>
      <c r="E155" s="8"/>
      <c r="F155" s="8"/>
      <c r="G155" s="12"/>
      <c r="H155" s="12"/>
      <c r="I155" s="12"/>
      <c r="J155" s="12"/>
      <c r="K155" s="12"/>
    </row>
    <row r="156" customFormat="false" ht="14.25" hidden="false" customHeight="false" outlineLevel="0" collapsed="false">
      <c r="B156" s="8"/>
      <c r="C156" s="12"/>
      <c r="D156" s="8"/>
      <c r="E156" s="8"/>
      <c r="F156" s="8"/>
      <c r="G156" s="12"/>
      <c r="H156" s="12"/>
      <c r="I156" s="12"/>
      <c r="J156" s="12"/>
      <c r="K156" s="12"/>
    </row>
    <row r="157" customFormat="false" ht="14.25" hidden="false" customHeight="false" outlineLevel="0" collapsed="false">
      <c r="B157" s="8"/>
      <c r="C157" s="12"/>
      <c r="D157" s="8"/>
      <c r="E157" s="8"/>
      <c r="F157" s="8"/>
      <c r="G157" s="12"/>
      <c r="H157" s="12"/>
      <c r="I157" s="12"/>
      <c r="J157" s="12"/>
      <c r="K157" s="12"/>
    </row>
    <row r="158" customFormat="false" ht="14.25" hidden="false" customHeight="false" outlineLevel="0" collapsed="false">
      <c r="B158" s="8"/>
      <c r="C158" s="12"/>
      <c r="D158" s="8"/>
      <c r="E158" s="8"/>
      <c r="F158" s="8"/>
      <c r="G158" s="12"/>
      <c r="H158" s="12"/>
      <c r="I158" s="12"/>
      <c r="J158" s="12"/>
      <c r="K158" s="12"/>
    </row>
    <row r="159" customFormat="false" ht="14.25" hidden="false" customHeight="false" outlineLevel="0" collapsed="false">
      <c r="B159" s="8"/>
      <c r="C159" s="12"/>
      <c r="D159" s="8"/>
      <c r="E159" s="8"/>
      <c r="F159" s="8"/>
      <c r="G159" s="12"/>
      <c r="H159" s="12"/>
      <c r="I159" s="12"/>
      <c r="J159" s="12"/>
      <c r="K159" s="12"/>
    </row>
    <row r="160" customFormat="false" ht="14.25" hidden="false" customHeight="false" outlineLevel="0" collapsed="false">
      <c r="B160" s="8"/>
      <c r="C160" s="12"/>
      <c r="D160" s="8"/>
      <c r="E160" s="8"/>
      <c r="F160" s="8"/>
      <c r="G160" s="12"/>
      <c r="H160" s="12"/>
      <c r="I160" s="12"/>
      <c r="J160" s="12"/>
      <c r="K160" s="12"/>
    </row>
    <row r="161" customFormat="false" ht="14.25" hidden="false" customHeight="false" outlineLevel="0" collapsed="false">
      <c r="B161" s="8" t="n">
        <v>20</v>
      </c>
      <c r="C161" s="12" t="s">
        <v>53</v>
      </c>
      <c r="D161" s="8"/>
      <c r="E161" s="8"/>
      <c r="F161" s="8" t="s">
        <v>55</v>
      </c>
      <c r="G161" s="12" t="s">
        <v>317</v>
      </c>
      <c r="H161" s="12"/>
      <c r="I161" s="12"/>
      <c r="J161" s="12" t="n">
        <f aca="false">K161-(K161*20%)</f>
        <v>72</v>
      </c>
      <c r="K161" s="12" t="n">
        <v>90</v>
      </c>
    </row>
    <row r="162" customFormat="false" ht="14.25" hidden="false" customHeight="false" outlineLevel="0" collapsed="false">
      <c r="B162" s="8" t="n">
        <v>25</v>
      </c>
      <c r="C162" s="12" t="s">
        <v>318</v>
      </c>
      <c r="D162" s="8"/>
      <c r="E162" s="8"/>
      <c r="F162" s="8"/>
      <c r="G162" s="12" t="s">
        <v>317</v>
      </c>
      <c r="H162" s="12"/>
      <c r="I162" s="12"/>
      <c r="J162" s="12" t="n">
        <f aca="false">K162-(K162*20%)</f>
        <v>40</v>
      </c>
      <c r="K162" s="12" t="n">
        <v>50</v>
      </c>
    </row>
    <row r="163" customFormat="false" ht="14.25" hidden="false" customHeight="false" outlineLevel="0" collapsed="false">
      <c r="B163" s="8" t="n">
        <v>26</v>
      </c>
      <c r="C163" s="12" t="s">
        <v>319</v>
      </c>
      <c r="D163" s="8"/>
      <c r="E163" s="8"/>
      <c r="F163" s="8"/>
      <c r="G163" s="12" t="s">
        <v>320</v>
      </c>
      <c r="H163" s="12"/>
      <c r="I163" s="12"/>
      <c r="J163" s="12" t="n">
        <f aca="false">K163-(K163*20%)</f>
        <v>40</v>
      </c>
      <c r="K163" s="12" t="n">
        <v>50</v>
      </c>
    </row>
    <row r="164" customFormat="false" ht="14.25" hidden="false" customHeight="false" outlineLevel="0" collapsed="false">
      <c r="B164" s="8" t="n">
        <v>27</v>
      </c>
      <c r="C164" s="12" t="s">
        <v>321</v>
      </c>
      <c r="D164" s="8"/>
      <c r="E164" s="8"/>
      <c r="F164" s="8"/>
      <c r="G164" s="12" t="s">
        <v>320</v>
      </c>
      <c r="H164" s="12"/>
      <c r="I164" s="12"/>
      <c r="J164" s="12" t="n">
        <f aca="false">K164-(K164*20%)</f>
        <v>160</v>
      </c>
      <c r="K164" s="12" t="n">
        <v>200</v>
      </c>
    </row>
    <row r="165" customFormat="false" ht="14.25" hidden="false" customHeight="false" outlineLevel="0" collapsed="false">
      <c r="B165" s="8" t="n">
        <v>28</v>
      </c>
      <c r="C165" s="12" t="s">
        <v>322</v>
      </c>
      <c r="D165" s="8"/>
      <c r="E165" s="8"/>
      <c r="F165" s="8"/>
      <c r="G165" s="12" t="s">
        <v>320</v>
      </c>
      <c r="H165" s="12"/>
      <c r="I165" s="12"/>
      <c r="J165" s="12" t="n">
        <f aca="false">K165-(K165*20%)</f>
        <v>160</v>
      </c>
      <c r="K165" s="12" t="n">
        <v>200</v>
      </c>
    </row>
    <row r="166" customFormat="false" ht="14.25" hidden="false" customHeight="false" outlineLevel="0" collapsed="false">
      <c r="B166" s="8" t="n">
        <v>29</v>
      </c>
      <c r="C166" s="12" t="s">
        <v>323</v>
      </c>
      <c r="D166" s="8"/>
      <c r="E166" s="8"/>
      <c r="F166" s="8"/>
      <c r="G166" s="12" t="s">
        <v>320</v>
      </c>
      <c r="H166" s="12"/>
      <c r="I166" s="12"/>
      <c r="J166" s="12" t="n">
        <f aca="false">K166-(K166*20%)</f>
        <v>0</v>
      </c>
      <c r="K166" s="12"/>
    </row>
    <row r="167" customFormat="false" ht="14.25" hidden="false" customHeight="false" outlineLevel="0" collapsed="false">
      <c r="B167" s="8" t="n">
        <v>30</v>
      </c>
      <c r="C167" s="12" t="s">
        <v>256</v>
      </c>
      <c r="D167" s="8"/>
      <c r="E167" s="8"/>
      <c r="F167" s="8" t="s">
        <v>255</v>
      </c>
      <c r="G167" s="12" t="s">
        <v>320</v>
      </c>
      <c r="H167" s="12"/>
      <c r="I167" s="12"/>
      <c r="J167" s="12" t="n">
        <f aca="false">K167-(K167*20%)</f>
        <v>0</v>
      </c>
      <c r="K167" s="12"/>
    </row>
    <row r="168" customFormat="false" ht="14.25" hidden="false" customHeight="false" outlineLevel="0" collapsed="false">
      <c r="B168" s="8" t="n">
        <v>31</v>
      </c>
      <c r="C168" s="12" t="s">
        <v>324</v>
      </c>
      <c r="D168" s="8"/>
      <c r="E168" s="8"/>
      <c r="F168" s="8"/>
      <c r="G168" s="12" t="s">
        <v>320</v>
      </c>
      <c r="H168" s="12"/>
      <c r="I168" s="12"/>
      <c r="J168" s="12" t="n">
        <f aca="false">K168-(K168*20%)</f>
        <v>0</v>
      </c>
      <c r="K168" s="12"/>
    </row>
    <row r="169" customFormat="false" ht="14.25" hidden="false" customHeight="false" outlineLevel="0" collapsed="false">
      <c r="B169" s="8" t="n">
        <v>32</v>
      </c>
      <c r="C169" s="12" t="s">
        <v>325</v>
      </c>
      <c r="D169" s="8"/>
      <c r="E169" s="8"/>
      <c r="F169" s="8"/>
      <c r="G169" s="12" t="s">
        <v>320</v>
      </c>
      <c r="H169" s="12"/>
      <c r="I169" s="12"/>
      <c r="J169" s="12" t="n">
        <f aca="false">K169-(K169*20%)</f>
        <v>0</v>
      </c>
      <c r="K169" s="12"/>
    </row>
    <row r="170" customFormat="false" ht="14.25" hidden="false" customHeight="false" outlineLevel="0" collapsed="false">
      <c r="B170" s="8" t="n">
        <v>33</v>
      </c>
      <c r="C170" s="12" t="s">
        <v>256</v>
      </c>
      <c r="D170" s="8"/>
      <c r="E170" s="8"/>
      <c r="F170" s="8" t="s">
        <v>255</v>
      </c>
      <c r="G170" s="12" t="s">
        <v>320</v>
      </c>
      <c r="H170" s="12"/>
      <c r="I170" s="12"/>
      <c r="J170" s="12" t="n">
        <f aca="false">K170-(K170*20%)</f>
        <v>0</v>
      </c>
      <c r="K170" s="12"/>
    </row>
    <row r="171" customFormat="false" ht="14.25" hidden="false" customHeight="false" outlineLevel="0" collapsed="false">
      <c r="B171" s="8" t="n">
        <v>34</v>
      </c>
      <c r="C171" s="12" t="s">
        <v>324</v>
      </c>
      <c r="D171" s="8"/>
      <c r="E171" s="8"/>
      <c r="F171" s="8"/>
      <c r="G171" s="12" t="s">
        <v>320</v>
      </c>
      <c r="H171" s="12"/>
      <c r="I171" s="12"/>
      <c r="J171" s="12" t="n">
        <f aca="false">K171-(K171*20%)</f>
        <v>0</v>
      </c>
      <c r="K171" s="12"/>
    </row>
    <row r="172" customFormat="false" ht="14.25" hidden="false" customHeight="false" outlineLevel="0" collapsed="false">
      <c r="B172" s="8" t="n">
        <v>35</v>
      </c>
      <c r="C172" s="12" t="s">
        <v>326</v>
      </c>
      <c r="D172" s="8"/>
      <c r="E172" s="8"/>
      <c r="F172" s="8"/>
      <c r="G172" s="12" t="s">
        <v>320</v>
      </c>
      <c r="H172" s="12" t="n">
        <v>10</v>
      </c>
      <c r="I172" s="12" t="n">
        <v>13.5</v>
      </c>
      <c r="J172" s="12" t="n">
        <f aca="false">K172-(K172*20%)</f>
        <v>16</v>
      </c>
      <c r="K172" s="12" t="n">
        <v>20</v>
      </c>
    </row>
    <row r="173" customFormat="false" ht="14.25" hidden="false" customHeight="false" outlineLevel="0" collapsed="false">
      <c r="B173" s="8" t="n">
        <v>36</v>
      </c>
      <c r="C173" s="12" t="s">
        <v>327</v>
      </c>
      <c r="D173" s="8"/>
      <c r="E173" s="8"/>
      <c r="F173" s="8"/>
      <c r="G173" s="12" t="s">
        <v>320</v>
      </c>
      <c r="H173" s="12" t="n">
        <v>10</v>
      </c>
      <c r="I173" s="12" t="n">
        <v>13.5</v>
      </c>
      <c r="J173" s="12" t="n">
        <f aca="false">K173-(K173*20%)</f>
        <v>16</v>
      </c>
      <c r="K173" s="12" t="n">
        <v>20</v>
      </c>
    </row>
    <row r="174" customFormat="false" ht="14.25" hidden="false" customHeight="false" outlineLevel="0" collapsed="false">
      <c r="B174" s="8" t="n">
        <v>37</v>
      </c>
      <c r="C174" s="12" t="s">
        <v>328</v>
      </c>
      <c r="D174" s="8"/>
      <c r="E174" s="8"/>
      <c r="F174" s="8"/>
      <c r="G174" s="12" t="s">
        <v>320</v>
      </c>
      <c r="H174" s="12" t="n">
        <v>10</v>
      </c>
      <c r="I174" s="12" t="n">
        <v>13.5</v>
      </c>
      <c r="J174" s="12" t="n">
        <f aca="false">K174-(K174*20%)</f>
        <v>16</v>
      </c>
      <c r="K174" s="12" t="n">
        <v>20</v>
      </c>
    </row>
    <row r="175" customFormat="false" ht="14.25" hidden="false" customHeight="false" outlineLevel="0" collapsed="false">
      <c r="B175" s="8" t="n">
        <v>38</v>
      </c>
      <c r="C175" s="12" t="s">
        <v>329</v>
      </c>
      <c r="D175" s="8"/>
      <c r="E175" s="8"/>
      <c r="F175" s="8"/>
      <c r="G175" s="12" t="s">
        <v>320</v>
      </c>
      <c r="H175" s="12" t="n">
        <v>10</v>
      </c>
      <c r="I175" s="12" t="n">
        <v>13.5</v>
      </c>
      <c r="J175" s="12" t="n">
        <f aca="false">K175-(K175*20%)</f>
        <v>16</v>
      </c>
      <c r="K175" s="12" t="n">
        <v>20</v>
      </c>
    </row>
    <row r="176" customFormat="false" ht="14.25" hidden="false" customHeight="false" outlineLevel="0" collapsed="false">
      <c r="B176" s="8" t="n">
        <v>39</v>
      </c>
      <c r="C176" s="12" t="s">
        <v>330</v>
      </c>
      <c r="D176" s="8"/>
      <c r="E176" s="8"/>
      <c r="F176" s="8"/>
      <c r="G176" s="12" t="s">
        <v>320</v>
      </c>
      <c r="H176" s="12" t="n">
        <v>9</v>
      </c>
      <c r="I176" s="12" t="n">
        <v>10</v>
      </c>
      <c r="J176" s="12" t="n">
        <f aca="false">K176-(K176*20%)</f>
        <v>12</v>
      </c>
      <c r="K176" s="12" t="n">
        <v>15</v>
      </c>
    </row>
    <row r="177" customFormat="false" ht="14.25" hidden="false" customHeight="false" outlineLevel="0" collapsed="false">
      <c r="B177" s="8" t="n">
        <v>40</v>
      </c>
      <c r="C177" s="12" t="s">
        <v>331</v>
      </c>
      <c r="D177" s="8"/>
      <c r="E177" s="8"/>
      <c r="F177" s="8"/>
      <c r="G177" s="12" t="s">
        <v>320</v>
      </c>
      <c r="H177" s="12" t="n">
        <v>9</v>
      </c>
      <c r="I177" s="12" t="n">
        <v>10</v>
      </c>
      <c r="J177" s="12" t="n">
        <f aca="false">K177-(K177*20%)</f>
        <v>12</v>
      </c>
      <c r="K177" s="12" t="n">
        <v>15</v>
      </c>
    </row>
    <row r="178" customFormat="false" ht="14.25" hidden="false" customHeight="false" outlineLevel="0" collapsed="false">
      <c r="B178" s="8" t="n">
        <v>41</v>
      </c>
      <c r="C178" s="12" t="s">
        <v>332</v>
      </c>
      <c r="D178" s="8"/>
      <c r="E178" s="8"/>
      <c r="F178" s="8"/>
      <c r="G178" s="12" t="s">
        <v>320</v>
      </c>
      <c r="H178" s="12" t="n">
        <v>9</v>
      </c>
      <c r="I178" s="12" t="n">
        <v>10</v>
      </c>
      <c r="J178" s="12" t="n">
        <f aca="false">K178-(K178*20%)</f>
        <v>12</v>
      </c>
      <c r="K178" s="12" t="n">
        <v>15</v>
      </c>
    </row>
    <row r="179" customFormat="false" ht="14.25" hidden="false" customHeight="false" outlineLevel="0" collapsed="false">
      <c r="B179" s="8" t="n">
        <v>42</v>
      </c>
      <c r="C179" s="12" t="s">
        <v>333</v>
      </c>
      <c r="D179" s="8"/>
      <c r="E179" s="8"/>
      <c r="F179" s="8"/>
      <c r="G179" s="12" t="s">
        <v>320</v>
      </c>
      <c r="H179" s="12" t="n">
        <v>9</v>
      </c>
      <c r="I179" s="12" t="n">
        <v>10</v>
      </c>
      <c r="J179" s="12" t="n">
        <f aca="false">K179-(K179*20%)</f>
        <v>12</v>
      </c>
      <c r="K179" s="12" t="n">
        <v>15</v>
      </c>
    </row>
    <row r="180" customFormat="false" ht="14.25" hidden="false" customHeight="false" outlineLevel="0" collapsed="false">
      <c r="B180" s="8" t="n">
        <v>43</v>
      </c>
      <c r="C180" s="12" t="s">
        <v>334</v>
      </c>
      <c r="D180" s="8"/>
      <c r="E180" s="8"/>
      <c r="F180" s="8"/>
      <c r="G180" s="12" t="s">
        <v>320</v>
      </c>
      <c r="H180" s="12" t="n">
        <v>9</v>
      </c>
      <c r="I180" s="12" t="n">
        <v>10</v>
      </c>
      <c r="J180" s="12" t="n">
        <f aca="false">K180-(K180*20%)</f>
        <v>12</v>
      </c>
      <c r="K180" s="12" t="n">
        <v>15</v>
      </c>
    </row>
    <row r="181" customFormat="false" ht="14.25" hidden="false" customHeight="false" outlineLevel="0" collapsed="false">
      <c r="B181" s="8" t="n">
        <v>44</v>
      </c>
      <c r="C181" s="12" t="s">
        <v>335</v>
      </c>
      <c r="D181" s="8"/>
      <c r="E181" s="8"/>
      <c r="F181" s="8"/>
      <c r="G181" s="12" t="s">
        <v>320</v>
      </c>
      <c r="H181" s="12" t="n">
        <v>9</v>
      </c>
      <c r="I181" s="12" t="n">
        <v>10</v>
      </c>
      <c r="J181" s="12" t="n">
        <f aca="false">K181-(K181*20%)</f>
        <v>12</v>
      </c>
      <c r="K181" s="12" t="n">
        <v>15</v>
      </c>
    </row>
    <row r="182" customFormat="false" ht="14.25" hidden="false" customHeight="false" outlineLevel="0" collapsed="false">
      <c r="B182" s="8" t="n">
        <v>45</v>
      </c>
      <c r="C182" s="12" t="s">
        <v>336</v>
      </c>
      <c r="D182" s="8"/>
      <c r="E182" s="8"/>
      <c r="F182" s="8"/>
      <c r="G182" s="12" t="s">
        <v>320</v>
      </c>
      <c r="H182" s="12" t="n">
        <v>100</v>
      </c>
      <c r="I182" s="12" t="n">
        <v>135</v>
      </c>
      <c r="J182" s="12" t="n">
        <f aca="false">K182-(K182*20%)</f>
        <v>160</v>
      </c>
      <c r="K182" s="12" t="n">
        <v>200</v>
      </c>
    </row>
    <row r="183" customFormat="false" ht="14.25" hidden="false" customHeight="false" outlineLevel="0" collapsed="false">
      <c r="B183" s="8" t="n">
        <v>46</v>
      </c>
      <c r="C183" s="12" t="s">
        <v>337</v>
      </c>
      <c r="D183" s="8"/>
      <c r="E183" s="8"/>
      <c r="F183" s="8"/>
      <c r="G183" s="12" t="s">
        <v>320</v>
      </c>
      <c r="H183" s="12" t="n">
        <v>100</v>
      </c>
      <c r="I183" s="12" t="n">
        <v>135</v>
      </c>
      <c r="J183" s="12" t="n">
        <f aca="false">K183-(K183*20%)</f>
        <v>160</v>
      </c>
      <c r="K183" s="12" t="n">
        <v>200</v>
      </c>
    </row>
    <row r="184" customFormat="false" ht="14.25" hidden="false" customHeight="false" outlineLevel="0" collapsed="false">
      <c r="B184" s="8" t="n">
        <v>47</v>
      </c>
      <c r="C184" s="12" t="s">
        <v>338</v>
      </c>
      <c r="D184" s="8"/>
      <c r="E184" s="8"/>
      <c r="F184" s="8"/>
      <c r="G184" s="12" t="s">
        <v>320</v>
      </c>
      <c r="H184" s="12" t="n">
        <v>100</v>
      </c>
      <c r="I184" s="12" t="n">
        <v>135</v>
      </c>
      <c r="J184" s="12" t="n">
        <f aca="false">K184-(K184*20%)</f>
        <v>160</v>
      </c>
      <c r="K184" s="12" t="n">
        <v>200</v>
      </c>
    </row>
    <row r="185" customFormat="false" ht="14.25" hidden="false" customHeight="false" outlineLevel="0" collapsed="false">
      <c r="B185" s="8" t="n">
        <v>48</v>
      </c>
      <c r="C185" s="12" t="s">
        <v>339</v>
      </c>
      <c r="D185" s="8"/>
      <c r="E185" s="8"/>
      <c r="F185" s="8"/>
      <c r="G185" s="12" t="s">
        <v>320</v>
      </c>
      <c r="H185" s="12" t="n">
        <v>100</v>
      </c>
      <c r="I185" s="12" t="n">
        <v>135</v>
      </c>
      <c r="J185" s="12" t="n">
        <f aca="false">K185-(K185*20%)</f>
        <v>160</v>
      </c>
      <c r="K185" s="12" t="n">
        <v>200</v>
      </c>
    </row>
    <row r="186" customFormat="false" ht="14.25" hidden="false" customHeight="false" outlineLevel="0" collapsed="false">
      <c r="B186" s="8" t="n">
        <v>49</v>
      </c>
      <c r="C186" s="12" t="s">
        <v>340</v>
      </c>
      <c r="D186" s="8"/>
      <c r="E186" s="8"/>
      <c r="F186" s="8"/>
      <c r="G186" s="12" t="s">
        <v>320</v>
      </c>
      <c r="H186" s="12" t="n">
        <v>90</v>
      </c>
      <c r="I186" s="12" t="n">
        <v>100</v>
      </c>
      <c r="J186" s="12" t="n">
        <f aca="false">K186-(K186*20%)</f>
        <v>120</v>
      </c>
      <c r="K186" s="12" t="n">
        <v>150</v>
      </c>
    </row>
    <row r="187" customFormat="false" ht="14.25" hidden="false" customHeight="false" outlineLevel="0" collapsed="false">
      <c r="B187" s="8" t="n">
        <v>50</v>
      </c>
      <c r="C187" s="12" t="s">
        <v>341</v>
      </c>
      <c r="D187" s="8"/>
      <c r="E187" s="8"/>
      <c r="F187" s="8"/>
      <c r="G187" s="12" t="s">
        <v>320</v>
      </c>
      <c r="H187" s="12" t="n">
        <v>90</v>
      </c>
      <c r="I187" s="12" t="n">
        <v>100</v>
      </c>
      <c r="J187" s="12" t="n">
        <f aca="false">K187-(K187*20%)</f>
        <v>120</v>
      </c>
      <c r="K187" s="12" t="n">
        <v>150</v>
      </c>
    </row>
    <row r="188" customFormat="false" ht="14.25" hidden="false" customHeight="false" outlineLevel="0" collapsed="false">
      <c r="B188" s="8" t="n">
        <v>51</v>
      </c>
      <c r="C188" s="12" t="s">
        <v>342</v>
      </c>
      <c r="D188" s="8"/>
      <c r="E188" s="8"/>
      <c r="F188" s="8"/>
      <c r="G188" s="12" t="s">
        <v>320</v>
      </c>
      <c r="H188" s="12" t="n">
        <v>90</v>
      </c>
      <c r="I188" s="12" t="n">
        <v>100</v>
      </c>
      <c r="J188" s="12" t="n">
        <f aca="false">K188-(K188*20%)</f>
        <v>120</v>
      </c>
      <c r="K188" s="12" t="n">
        <v>150</v>
      </c>
    </row>
    <row r="189" customFormat="false" ht="14.25" hidden="false" customHeight="false" outlineLevel="0" collapsed="false">
      <c r="B189" s="8" t="n">
        <v>52</v>
      </c>
      <c r="C189" s="12" t="s">
        <v>343</v>
      </c>
      <c r="D189" s="8"/>
      <c r="E189" s="8"/>
      <c r="F189" s="8"/>
      <c r="G189" s="12" t="s">
        <v>320</v>
      </c>
      <c r="H189" s="12" t="n">
        <v>90</v>
      </c>
      <c r="I189" s="12" t="n">
        <v>100</v>
      </c>
      <c r="J189" s="12" t="n">
        <f aca="false">K189-(K189*20%)</f>
        <v>120</v>
      </c>
      <c r="K189" s="12" t="n">
        <v>150</v>
      </c>
    </row>
    <row r="190" customFormat="false" ht="14.25" hidden="false" customHeight="false" outlineLevel="0" collapsed="false">
      <c r="B190" s="8" t="n">
        <v>53</v>
      </c>
      <c r="C190" s="12" t="s">
        <v>344</v>
      </c>
      <c r="D190" s="8"/>
      <c r="E190" s="8"/>
      <c r="F190" s="8"/>
      <c r="G190" s="12" t="s">
        <v>320</v>
      </c>
      <c r="H190" s="12" t="n">
        <v>90</v>
      </c>
      <c r="I190" s="12" t="n">
        <v>100</v>
      </c>
      <c r="J190" s="12" t="n">
        <f aca="false">K190-(K190*20%)</f>
        <v>120</v>
      </c>
      <c r="K190" s="12" t="n">
        <v>150</v>
      </c>
    </row>
    <row r="191" customFormat="false" ht="14.25" hidden="false" customHeight="false" outlineLevel="0" collapsed="false">
      <c r="B191" s="8" t="n">
        <v>54</v>
      </c>
      <c r="C191" s="12" t="s">
        <v>345</v>
      </c>
      <c r="D191" s="8"/>
      <c r="E191" s="8"/>
      <c r="F191" s="8"/>
      <c r="G191" s="12" t="s">
        <v>320</v>
      </c>
      <c r="H191" s="12" t="n">
        <v>90</v>
      </c>
      <c r="I191" s="12" t="n">
        <v>100</v>
      </c>
      <c r="J191" s="12" t="n">
        <f aca="false">K191-(K191*20%)</f>
        <v>120</v>
      </c>
      <c r="K191" s="12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9.18359375" defaultRowHeight="15" customHeight="false" zeroHeight="false" outlineLevelRow="0" outlineLevelCol="0"/>
  <cols>
    <col collapsed="false" customWidth="true" hidden="false" outlineLevel="0" max="1" min="1" style="40" width="37.73"/>
    <col collapsed="false" customWidth="true" hidden="false" outlineLevel="0" max="2" min="2" style="40" width="31.27"/>
    <col collapsed="false" customWidth="true" hidden="false" outlineLevel="0" max="3" min="3" style="40" width="25.82"/>
    <col collapsed="false" customWidth="false" hidden="false" outlineLevel="0" max="10" min="4" style="40" width="9.18"/>
    <col collapsed="false" customWidth="true" hidden="false" outlineLevel="0" max="11" min="11" style="40" width="16.18"/>
    <col collapsed="false" customWidth="false" hidden="false" outlineLevel="0" max="16384" min="12" style="40" width="9.18"/>
  </cols>
  <sheetData>
    <row r="1" customFormat="false" ht="15" hidden="false" customHeight="false" outlineLevel="0" collapsed="false">
      <c r="A1" s="41"/>
    </row>
    <row r="2" customFormat="false" ht="15" hidden="false" customHeight="false" outlineLevel="0" collapsed="false">
      <c r="A2" s="41" t="s">
        <v>315</v>
      </c>
      <c r="B2" s="41" t="s">
        <v>185</v>
      </c>
      <c r="C2" s="41" t="s">
        <v>193</v>
      </c>
    </row>
    <row r="3" s="42" customFormat="true" ht="15" hidden="false" customHeight="false" outlineLevel="0" collapsed="false">
      <c r="A3" s="42" t="s">
        <v>346</v>
      </c>
      <c r="B3" s="42" t="s">
        <v>347</v>
      </c>
      <c r="C3" s="42" t="s">
        <v>348</v>
      </c>
    </row>
    <row r="4" customFormat="false" ht="15" hidden="false" customHeight="false" outlineLevel="0" collapsed="false">
      <c r="A4" s="41" t="s">
        <v>179</v>
      </c>
      <c r="B4" s="41" t="s">
        <v>187</v>
      </c>
      <c r="C4" s="41" t="s">
        <v>195</v>
      </c>
    </row>
    <row r="5" s="42" customFormat="true" ht="15" hidden="false" customHeight="false" outlineLevel="0" collapsed="false">
      <c r="A5" s="42" t="s">
        <v>346</v>
      </c>
      <c r="B5" s="42" t="s">
        <v>347</v>
      </c>
      <c r="C5" s="42" t="s">
        <v>348</v>
      </c>
    </row>
    <row r="6" customFormat="false" ht="15" hidden="false" customHeight="false" outlineLevel="0" collapsed="false">
      <c r="A6" s="41" t="s">
        <v>180</v>
      </c>
      <c r="B6" s="41" t="s">
        <v>188</v>
      </c>
      <c r="C6" s="41" t="s">
        <v>196</v>
      </c>
      <c r="K6" s="41" t="s">
        <v>32</v>
      </c>
    </row>
    <row r="7" s="42" customFormat="true" ht="15" hidden="false" customHeight="false" outlineLevel="0" collapsed="false">
      <c r="A7" s="42" t="s">
        <v>346</v>
      </c>
      <c r="B7" s="42" t="s">
        <v>347</v>
      </c>
      <c r="C7" s="42" t="s">
        <v>348</v>
      </c>
      <c r="K7" s="42" t="s">
        <v>33</v>
      </c>
    </row>
    <row r="8" customFormat="false" ht="15" hidden="false" customHeight="false" outlineLevel="0" collapsed="false">
      <c r="A8" s="41" t="s">
        <v>181</v>
      </c>
      <c r="B8" s="41" t="s">
        <v>189</v>
      </c>
      <c r="C8" s="41" t="s">
        <v>197</v>
      </c>
      <c r="K8" s="41" t="s">
        <v>34</v>
      </c>
    </row>
    <row r="9" s="42" customFormat="true" ht="15" hidden="false" customHeight="false" outlineLevel="0" collapsed="false">
      <c r="A9" s="42" t="s">
        <v>346</v>
      </c>
      <c r="B9" s="42" t="s">
        <v>347</v>
      </c>
      <c r="C9" s="42" t="s">
        <v>348</v>
      </c>
      <c r="K9" s="42" t="s">
        <v>35</v>
      </c>
    </row>
    <row r="10" customFormat="false" ht="15" hidden="false" customHeight="false" outlineLevel="0" collapsed="false">
      <c r="A10" s="41" t="s">
        <v>182</v>
      </c>
      <c r="B10" s="41" t="s">
        <v>190</v>
      </c>
      <c r="C10" s="41" t="s">
        <v>198</v>
      </c>
      <c r="K10" s="41" t="s">
        <v>36</v>
      </c>
    </row>
    <row r="11" s="42" customFormat="true" ht="15" hidden="false" customHeight="false" outlineLevel="0" collapsed="false">
      <c r="A11" s="42" t="s">
        <v>346</v>
      </c>
      <c r="B11" s="42" t="s">
        <v>347</v>
      </c>
      <c r="C11" s="42" t="s">
        <v>348</v>
      </c>
      <c r="K11" s="42" t="s">
        <v>37</v>
      </c>
    </row>
    <row r="12" customFormat="false" ht="15" hidden="false" customHeight="false" outlineLevel="0" collapsed="false">
      <c r="A12" s="41" t="s">
        <v>183</v>
      </c>
      <c r="B12" s="41" t="s">
        <v>191</v>
      </c>
      <c r="C12" s="41" t="s">
        <v>199</v>
      </c>
      <c r="K12" s="41" t="s">
        <v>38</v>
      </c>
    </row>
    <row r="13" s="42" customFormat="true" ht="15" hidden="false" customHeight="false" outlineLevel="0" collapsed="false">
      <c r="A13" s="42" t="s">
        <v>346</v>
      </c>
      <c r="B13" s="42" t="s">
        <v>347</v>
      </c>
      <c r="C13" s="42" t="s">
        <v>348</v>
      </c>
      <c r="K13" s="42" t="s">
        <v>39</v>
      </c>
    </row>
    <row r="14" customFormat="false" ht="15" hidden="false" customHeight="false" outlineLevel="0" collapsed="false">
      <c r="A14" s="41" t="s">
        <v>316</v>
      </c>
      <c r="B14" s="41" t="s">
        <v>192</v>
      </c>
      <c r="C14" s="41" t="s">
        <v>200</v>
      </c>
      <c r="K14" s="41" t="s">
        <v>40</v>
      </c>
    </row>
    <row r="15" s="42" customFormat="true" ht="15" hidden="false" customHeight="false" outlineLevel="0" collapsed="false">
      <c r="A15" s="42" t="s">
        <v>346</v>
      </c>
      <c r="B15" s="42" t="s">
        <v>347</v>
      </c>
      <c r="C15" s="42" t="s">
        <v>348</v>
      </c>
      <c r="K15" s="42" t="s">
        <v>41</v>
      </c>
    </row>
    <row r="16" customFormat="false" ht="15" hidden="false" customHeight="false" outlineLevel="0" collapsed="false">
      <c r="C16" s="41" t="s">
        <v>201</v>
      </c>
      <c r="K16" s="41" t="s">
        <v>42</v>
      </c>
    </row>
    <row r="17" s="43" customFormat="true" ht="15" hidden="false" customHeight="false" outlineLevel="0" collapsed="false">
      <c r="C17" s="42" t="s">
        <v>348</v>
      </c>
      <c r="K17" s="43" t="s">
        <v>43</v>
      </c>
    </row>
    <row r="18" customFormat="false" ht="15" hidden="false" customHeight="false" outlineLevel="0" collapsed="false">
      <c r="C18" s="41" t="s">
        <v>202</v>
      </c>
      <c r="K18" s="41" t="s">
        <v>44</v>
      </c>
    </row>
    <row r="19" s="43" customFormat="true" ht="15" hidden="false" customHeight="false" outlineLevel="0" collapsed="false">
      <c r="C19" s="42" t="s">
        <v>348</v>
      </c>
      <c r="K19" s="43" t="s">
        <v>45</v>
      </c>
    </row>
    <row r="20" customFormat="false" ht="15" hidden="false" customHeight="false" outlineLevel="0" collapsed="false">
      <c r="C20" s="41" t="s">
        <v>203</v>
      </c>
    </row>
    <row r="21" s="43" customFormat="true" ht="15" hidden="false" customHeight="false" outlineLevel="0" collapsed="false">
      <c r="C21" s="42" t="s">
        <v>348</v>
      </c>
    </row>
    <row r="30" customFormat="false" ht="15" hidden="false" customHeight="false" outlineLevel="0" collapsed="false">
      <c r="A30" s="40" t="s">
        <v>193</v>
      </c>
    </row>
    <row r="32" customFormat="false" ht="15" hidden="false" customHeight="false" outlineLevel="0" collapsed="false">
      <c r="A32" s="40" t="s">
        <v>195</v>
      </c>
    </row>
    <row r="34" customFormat="false" ht="15" hidden="false" customHeight="false" outlineLevel="0" collapsed="false">
      <c r="A34" s="40" t="s">
        <v>196</v>
      </c>
    </row>
    <row r="36" customFormat="false" ht="15" hidden="false" customHeight="false" outlineLevel="0" collapsed="false">
      <c r="A36" s="40" t="s">
        <v>197</v>
      </c>
    </row>
    <row r="38" customFormat="false" ht="15" hidden="false" customHeight="false" outlineLevel="0" collapsed="false">
      <c r="A38" s="40" t="s">
        <v>198</v>
      </c>
    </row>
    <row r="40" customFormat="false" ht="15" hidden="false" customHeight="false" outlineLevel="0" collapsed="false">
      <c r="A40" s="40" t="s">
        <v>199</v>
      </c>
    </row>
    <row r="42" customFormat="false" ht="15" hidden="false" customHeight="false" outlineLevel="0" collapsed="false">
      <c r="A42" s="40" t="s">
        <v>200</v>
      </c>
    </row>
    <row r="44" customFormat="false" ht="15" hidden="false" customHeight="false" outlineLevel="0" collapsed="false">
      <c r="A44" s="40" t="s">
        <v>201</v>
      </c>
    </row>
    <row r="46" customFormat="false" ht="15" hidden="false" customHeight="false" outlineLevel="0" collapsed="false">
      <c r="A46" s="40" t="s">
        <v>202</v>
      </c>
    </row>
    <row r="48" customFormat="false" ht="15" hidden="false" customHeight="false" outlineLevel="0" collapsed="false">
      <c r="A48" s="40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12.27"/>
    <col collapsed="false" customWidth="true" hidden="false" outlineLevel="0" max="3" min="3" style="1" width="32.54"/>
    <col collapsed="false" customWidth="true" hidden="false" outlineLevel="0" max="4" min="4" style="2" width="15.73"/>
    <col collapsed="false" customWidth="true" hidden="false" outlineLevel="0" max="5" min="5" style="2" width="42.18"/>
    <col collapsed="false" customWidth="false" hidden="false" outlineLevel="0" max="6" min="6" style="2" width="8.62"/>
  </cols>
  <sheetData>
    <row r="1" customFormat="false" ht="30.55" hidden="false" customHeight="false" outlineLevel="0" collapsed="false">
      <c r="A1" s="3" t="s">
        <v>270</v>
      </c>
      <c r="B1" s="21" t="s">
        <v>0</v>
      </c>
      <c r="C1" s="21" t="s">
        <v>1</v>
      </c>
      <c r="D1" s="22" t="s">
        <v>2</v>
      </c>
      <c r="E1" s="21" t="s">
        <v>3</v>
      </c>
      <c r="F1" s="21" t="s">
        <v>4</v>
      </c>
      <c r="G1" s="21" t="s">
        <v>13</v>
      </c>
      <c r="H1" s="22" t="s">
        <v>12</v>
      </c>
    </row>
    <row r="2" customFormat="false" ht="14.25" hidden="false" customHeight="true" outlineLevel="0" collapsed="false">
      <c r="A2" s="44" t="s">
        <v>349</v>
      </c>
      <c r="B2" s="45" t="n">
        <v>1</v>
      </c>
      <c r="C2" s="9" t="s">
        <v>32</v>
      </c>
      <c r="D2" s="10" t="n">
        <v>25</v>
      </c>
      <c r="E2" s="10" t="s">
        <v>17</v>
      </c>
      <c r="F2" s="10" t="s">
        <v>18</v>
      </c>
      <c r="G2" s="8" t="n">
        <v>20</v>
      </c>
      <c r="H2" s="8" t="n">
        <v>16</v>
      </c>
    </row>
    <row r="3" customFormat="false" ht="14.25" hidden="false" customHeight="false" outlineLevel="0" collapsed="false">
      <c r="A3" s="44"/>
      <c r="B3" s="45" t="n">
        <v>2</v>
      </c>
      <c r="C3" s="9" t="s">
        <v>33</v>
      </c>
      <c r="D3" s="10" t="n">
        <v>25</v>
      </c>
      <c r="E3" s="10" t="s">
        <v>17</v>
      </c>
      <c r="F3" s="10" t="s">
        <v>18</v>
      </c>
      <c r="G3" s="8" t="n">
        <v>20</v>
      </c>
      <c r="H3" s="8" t="n">
        <v>16</v>
      </c>
    </row>
    <row r="4" customFormat="false" ht="14.25" hidden="false" customHeight="false" outlineLevel="0" collapsed="false">
      <c r="A4" s="44"/>
      <c r="B4" s="45" t="n">
        <v>3</v>
      </c>
      <c r="C4" s="9" t="s">
        <v>34</v>
      </c>
      <c r="D4" s="10" t="n">
        <v>25</v>
      </c>
      <c r="E4" s="10" t="s">
        <v>17</v>
      </c>
      <c r="F4" s="10" t="s">
        <v>18</v>
      </c>
      <c r="G4" s="8" t="n">
        <v>20</v>
      </c>
      <c r="H4" s="8" t="n">
        <v>16</v>
      </c>
    </row>
    <row r="5" customFormat="false" ht="14.25" hidden="false" customHeight="false" outlineLevel="0" collapsed="false">
      <c r="A5" s="44"/>
      <c r="B5" s="45" t="n">
        <v>4</v>
      </c>
      <c r="C5" s="9" t="s">
        <v>35</v>
      </c>
      <c r="D5" s="10" t="n">
        <v>25</v>
      </c>
      <c r="E5" s="10" t="s">
        <v>17</v>
      </c>
      <c r="F5" s="10" t="s">
        <v>18</v>
      </c>
      <c r="G5" s="8" t="n">
        <v>20</v>
      </c>
      <c r="H5" s="8" t="n">
        <v>16</v>
      </c>
    </row>
    <row r="6" customFormat="false" ht="14.25" hidden="false" customHeight="false" outlineLevel="0" collapsed="false">
      <c r="A6" s="44"/>
      <c r="B6" s="45" t="n">
        <v>5</v>
      </c>
      <c r="C6" s="9" t="s">
        <v>36</v>
      </c>
      <c r="D6" s="10" t="n">
        <v>25</v>
      </c>
      <c r="E6" s="10" t="s">
        <v>17</v>
      </c>
      <c r="F6" s="10" t="s">
        <v>18</v>
      </c>
      <c r="G6" s="8" t="n">
        <v>20</v>
      </c>
      <c r="H6" s="8" t="n">
        <v>16</v>
      </c>
    </row>
    <row r="7" customFormat="false" ht="14.25" hidden="false" customHeight="false" outlineLevel="0" collapsed="false">
      <c r="A7" s="44"/>
      <c r="B7" s="45" t="n">
        <v>6</v>
      </c>
      <c r="C7" s="9" t="s">
        <v>37</v>
      </c>
      <c r="D7" s="10" t="n">
        <v>25</v>
      </c>
      <c r="E7" s="10" t="s">
        <v>17</v>
      </c>
      <c r="F7" s="10" t="s">
        <v>18</v>
      </c>
      <c r="G7" s="8" t="n">
        <v>20</v>
      </c>
      <c r="H7" s="8" t="n">
        <v>16</v>
      </c>
    </row>
    <row r="8" customFormat="false" ht="14.25" hidden="false" customHeight="false" outlineLevel="0" collapsed="false">
      <c r="A8" s="44"/>
      <c r="B8" s="45" t="n">
        <v>7</v>
      </c>
      <c r="C8" s="9" t="s">
        <v>38</v>
      </c>
      <c r="D8" s="10" t="n">
        <v>25</v>
      </c>
      <c r="E8" s="10" t="s">
        <v>17</v>
      </c>
      <c r="F8" s="10" t="s">
        <v>18</v>
      </c>
      <c r="G8" s="8" t="n">
        <v>20</v>
      </c>
      <c r="H8" s="8" t="n">
        <v>16</v>
      </c>
    </row>
    <row r="9" customFormat="false" ht="14.25" hidden="false" customHeight="false" outlineLevel="0" collapsed="false">
      <c r="A9" s="44"/>
      <c r="B9" s="45" t="n">
        <v>8</v>
      </c>
      <c r="C9" s="9" t="s">
        <v>39</v>
      </c>
      <c r="D9" s="10" t="n">
        <v>25</v>
      </c>
      <c r="E9" s="10" t="s">
        <v>17</v>
      </c>
      <c r="F9" s="10" t="s">
        <v>18</v>
      </c>
      <c r="G9" s="8" t="n">
        <v>20</v>
      </c>
      <c r="H9" s="8" t="n">
        <v>16</v>
      </c>
    </row>
    <row r="10" customFormat="false" ht="14.25" hidden="false" customHeight="false" outlineLevel="0" collapsed="false">
      <c r="A10" s="44"/>
      <c r="B10" s="45" t="n">
        <v>9</v>
      </c>
      <c r="C10" s="9" t="s">
        <v>40</v>
      </c>
      <c r="D10" s="10" t="n">
        <v>25</v>
      </c>
      <c r="E10" s="10" t="s">
        <v>17</v>
      </c>
      <c r="F10" s="10" t="s">
        <v>18</v>
      </c>
      <c r="G10" s="8" t="n">
        <v>15</v>
      </c>
      <c r="H10" s="8" t="n">
        <v>12</v>
      </c>
    </row>
    <row r="11" customFormat="false" ht="14.25" hidden="false" customHeight="false" outlineLevel="0" collapsed="false">
      <c r="A11" s="44"/>
      <c r="B11" s="45" t="n">
        <v>10</v>
      </c>
      <c r="C11" s="9" t="s">
        <v>41</v>
      </c>
      <c r="D11" s="10" t="n">
        <v>25</v>
      </c>
      <c r="E11" s="10" t="s">
        <v>17</v>
      </c>
      <c r="F11" s="10" t="s">
        <v>18</v>
      </c>
      <c r="G11" s="8" t="n">
        <v>15</v>
      </c>
      <c r="H11" s="8" t="n">
        <v>12</v>
      </c>
    </row>
    <row r="12" customFormat="false" ht="14.25" hidden="false" customHeight="false" outlineLevel="0" collapsed="false">
      <c r="A12" s="44"/>
      <c r="B12" s="45" t="n">
        <v>11</v>
      </c>
      <c r="C12" s="9" t="s">
        <v>42</v>
      </c>
      <c r="D12" s="10" t="n">
        <v>25</v>
      </c>
      <c r="E12" s="10" t="s">
        <v>17</v>
      </c>
      <c r="F12" s="10" t="s">
        <v>18</v>
      </c>
      <c r="G12" s="8" t="n">
        <v>15</v>
      </c>
      <c r="H12" s="8" t="n">
        <v>12</v>
      </c>
    </row>
    <row r="13" customFormat="false" ht="14.25" hidden="false" customHeight="false" outlineLevel="0" collapsed="false">
      <c r="A13" s="44"/>
      <c r="B13" s="45" t="n">
        <v>12</v>
      </c>
      <c r="C13" s="9" t="s">
        <v>43</v>
      </c>
      <c r="D13" s="10" t="n">
        <v>25</v>
      </c>
      <c r="E13" s="10" t="s">
        <v>17</v>
      </c>
      <c r="F13" s="10" t="s">
        <v>18</v>
      </c>
      <c r="G13" s="8" t="n">
        <v>15</v>
      </c>
      <c r="H13" s="8" t="n">
        <v>12</v>
      </c>
    </row>
    <row r="14" customFormat="false" ht="14.25" hidden="false" customHeight="false" outlineLevel="0" collapsed="false">
      <c r="A14" s="44"/>
      <c r="B14" s="45" t="n">
        <v>13</v>
      </c>
      <c r="C14" s="9" t="s">
        <v>44</v>
      </c>
      <c r="D14" s="10" t="n">
        <v>25</v>
      </c>
      <c r="E14" s="10" t="s">
        <v>17</v>
      </c>
      <c r="F14" s="10" t="s">
        <v>18</v>
      </c>
      <c r="G14" s="8" t="n">
        <v>15</v>
      </c>
      <c r="H14" s="8" t="n">
        <v>12</v>
      </c>
    </row>
    <row r="15" customFormat="false" ht="14.25" hidden="false" customHeight="false" outlineLevel="0" collapsed="false">
      <c r="A15" s="44"/>
      <c r="B15" s="45" t="n">
        <v>14</v>
      </c>
      <c r="C15" s="9" t="s">
        <v>45</v>
      </c>
      <c r="D15" s="10" t="n">
        <v>25</v>
      </c>
      <c r="E15" s="10" t="s">
        <v>17</v>
      </c>
      <c r="F15" s="10" t="s">
        <v>18</v>
      </c>
      <c r="G15" s="8" t="n">
        <v>15</v>
      </c>
      <c r="H15" s="8" t="n">
        <v>12</v>
      </c>
    </row>
    <row r="16" customFormat="false" ht="14.25" hidden="false" customHeight="false" outlineLevel="0" collapsed="false">
      <c r="A16" s="44"/>
      <c r="B16" s="45" t="n">
        <v>15</v>
      </c>
      <c r="C16" s="9" t="s">
        <v>46</v>
      </c>
      <c r="D16" s="10" t="n">
        <v>25</v>
      </c>
      <c r="E16" s="10" t="s">
        <v>47</v>
      </c>
      <c r="F16" s="10" t="s">
        <v>47</v>
      </c>
      <c r="G16" s="8" t="n">
        <v>60</v>
      </c>
      <c r="H16" s="8" t="n">
        <v>48</v>
      </c>
    </row>
    <row r="17" customFormat="false" ht="14.25" hidden="false" customHeight="false" outlineLevel="0" collapsed="false">
      <c r="A17" s="44"/>
      <c r="B17" s="45" t="n">
        <v>16</v>
      </c>
      <c r="C17" s="9" t="s">
        <v>48</v>
      </c>
      <c r="D17" s="10" t="n">
        <v>25</v>
      </c>
      <c r="E17" s="10" t="s">
        <v>47</v>
      </c>
      <c r="F17" s="10" t="s">
        <v>47</v>
      </c>
      <c r="G17" s="8" t="n">
        <v>60</v>
      </c>
      <c r="H17" s="8" t="n">
        <v>48</v>
      </c>
    </row>
    <row r="18" customFormat="false" ht="14.25" hidden="false" customHeight="false" outlineLevel="0" collapsed="false">
      <c r="A18" s="44"/>
      <c r="B18" s="45" t="n">
        <v>17</v>
      </c>
      <c r="C18" s="9" t="s">
        <v>49</v>
      </c>
      <c r="D18" s="10" t="n">
        <v>25</v>
      </c>
      <c r="E18" s="10" t="s">
        <v>47</v>
      </c>
      <c r="F18" s="10" t="s">
        <v>47</v>
      </c>
      <c r="G18" s="8" t="n">
        <v>60</v>
      </c>
      <c r="H18" s="8" t="n">
        <v>48</v>
      </c>
    </row>
    <row r="19" customFormat="false" ht="14.25" hidden="false" customHeight="false" outlineLevel="0" collapsed="false">
      <c r="A19" s="44"/>
      <c r="B19" s="45" t="n">
        <v>18</v>
      </c>
      <c r="C19" s="9" t="s">
        <v>50</v>
      </c>
      <c r="D19" s="10" t="n">
        <v>25</v>
      </c>
      <c r="E19" s="10" t="s">
        <v>47</v>
      </c>
      <c r="F19" s="10" t="s">
        <v>47</v>
      </c>
      <c r="G19" s="8" t="n">
        <v>60</v>
      </c>
      <c r="H19" s="8" t="n">
        <v>48</v>
      </c>
    </row>
    <row r="20" customFormat="false" ht="14.25" hidden="false" customHeight="false" outlineLevel="0" collapsed="false">
      <c r="A20" s="44"/>
      <c r="B20" s="45"/>
      <c r="C20" s="9"/>
      <c r="D20" s="10"/>
      <c r="E20" s="10"/>
      <c r="F20" s="10"/>
      <c r="G20" s="8"/>
      <c r="H20" s="8"/>
    </row>
    <row r="21" customFormat="false" ht="14.25" hidden="false" customHeight="false" outlineLevel="0" collapsed="false">
      <c r="A21" s="44"/>
      <c r="B21" s="45" t="n">
        <v>1</v>
      </c>
      <c r="C21" s="9" t="s">
        <v>32</v>
      </c>
      <c r="D21" s="10" t="n">
        <v>250</v>
      </c>
      <c r="E21" s="8" t="s">
        <v>51</v>
      </c>
      <c r="F21" s="8" t="s">
        <v>51</v>
      </c>
      <c r="G21" s="8" t="n">
        <v>200</v>
      </c>
      <c r="H21" s="8" t="n">
        <v>160</v>
      </c>
    </row>
    <row r="22" customFormat="false" ht="14.25" hidden="false" customHeight="false" outlineLevel="0" collapsed="false">
      <c r="A22" s="44"/>
      <c r="B22" s="45" t="n">
        <v>2</v>
      </c>
      <c r="C22" s="9" t="s">
        <v>33</v>
      </c>
      <c r="D22" s="10" t="n">
        <v>250</v>
      </c>
      <c r="E22" s="8" t="s">
        <v>51</v>
      </c>
      <c r="F22" s="8" t="s">
        <v>51</v>
      </c>
      <c r="G22" s="8" t="n">
        <v>200</v>
      </c>
      <c r="H22" s="8" t="n">
        <v>160</v>
      </c>
    </row>
    <row r="23" customFormat="false" ht="14.25" hidden="false" customHeight="false" outlineLevel="0" collapsed="false">
      <c r="A23" s="44"/>
      <c r="B23" s="45" t="n">
        <v>3</v>
      </c>
      <c r="C23" s="9" t="s">
        <v>34</v>
      </c>
      <c r="D23" s="10" t="n">
        <v>250</v>
      </c>
      <c r="E23" s="8" t="s">
        <v>51</v>
      </c>
      <c r="F23" s="8" t="s">
        <v>51</v>
      </c>
      <c r="G23" s="8" t="n">
        <v>200</v>
      </c>
      <c r="H23" s="8" t="n">
        <v>160</v>
      </c>
    </row>
    <row r="24" customFormat="false" ht="14.25" hidden="false" customHeight="false" outlineLevel="0" collapsed="false">
      <c r="A24" s="44"/>
      <c r="B24" s="45" t="n">
        <v>4</v>
      </c>
      <c r="C24" s="9" t="s">
        <v>35</v>
      </c>
      <c r="D24" s="10" t="n">
        <v>250</v>
      </c>
      <c r="E24" s="8" t="s">
        <v>51</v>
      </c>
      <c r="F24" s="8" t="s">
        <v>51</v>
      </c>
      <c r="G24" s="8" t="n">
        <v>200</v>
      </c>
      <c r="H24" s="8" t="n">
        <v>160</v>
      </c>
    </row>
    <row r="25" customFormat="false" ht="14.25" hidden="false" customHeight="false" outlineLevel="0" collapsed="false">
      <c r="A25" s="44"/>
      <c r="B25" s="45" t="n">
        <v>5</v>
      </c>
      <c r="C25" s="9" t="s">
        <v>36</v>
      </c>
      <c r="D25" s="10" t="n">
        <v>250</v>
      </c>
      <c r="E25" s="8" t="s">
        <v>51</v>
      </c>
      <c r="F25" s="8" t="s">
        <v>51</v>
      </c>
      <c r="G25" s="8" t="n">
        <v>200</v>
      </c>
      <c r="H25" s="8" t="n">
        <v>160</v>
      </c>
    </row>
    <row r="26" customFormat="false" ht="14.25" hidden="false" customHeight="false" outlineLevel="0" collapsed="false">
      <c r="A26" s="44"/>
      <c r="B26" s="45" t="n">
        <v>6</v>
      </c>
      <c r="C26" s="9" t="s">
        <v>37</v>
      </c>
      <c r="D26" s="10" t="n">
        <v>250</v>
      </c>
      <c r="E26" s="8" t="s">
        <v>51</v>
      </c>
      <c r="F26" s="8" t="s">
        <v>51</v>
      </c>
      <c r="G26" s="8" t="n">
        <v>200</v>
      </c>
      <c r="H26" s="8" t="n">
        <v>160</v>
      </c>
    </row>
    <row r="27" customFormat="false" ht="14.25" hidden="false" customHeight="false" outlineLevel="0" collapsed="false">
      <c r="A27" s="44"/>
      <c r="B27" s="45" t="n">
        <v>7</v>
      </c>
      <c r="C27" s="9" t="s">
        <v>38</v>
      </c>
      <c r="D27" s="10" t="n">
        <v>250</v>
      </c>
      <c r="E27" s="8" t="s">
        <v>51</v>
      </c>
      <c r="F27" s="8" t="s">
        <v>51</v>
      </c>
      <c r="G27" s="8" t="n">
        <v>200</v>
      </c>
      <c r="H27" s="8" t="n">
        <v>160</v>
      </c>
    </row>
    <row r="28" customFormat="false" ht="14.25" hidden="false" customHeight="false" outlineLevel="0" collapsed="false">
      <c r="A28" s="44"/>
      <c r="B28" s="45" t="n">
        <v>8</v>
      </c>
      <c r="C28" s="9" t="s">
        <v>39</v>
      </c>
      <c r="D28" s="10" t="n">
        <v>250</v>
      </c>
      <c r="E28" s="8" t="s">
        <v>51</v>
      </c>
      <c r="F28" s="8" t="s">
        <v>51</v>
      </c>
      <c r="G28" s="8" t="n">
        <v>200</v>
      </c>
      <c r="H28" s="8" t="n">
        <v>160</v>
      </c>
    </row>
    <row r="29" customFormat="false" ht="14.25" hidden="false" customHeight="false" outlineLevel="0" collapsed="false">
      <c r="A29" s="44"/>
      <c r="B29" s="45" t="n">
        <v>9</v>
      </c>
      <c r="C29" s="9" t="s">
        <v>40</v>
      </c>
      <c r="D29" s="10" t="n">
        <v>250</v>
      </c>
      <c r="E29" s="8" t="s">
        <v>51</v>
      </c>
      <c r="F29" s="8" t="s">
        <v>51</v>
      </c>
      <c r="G29" s="8" t="n">
        <v>150</v>
      </c>
      <c r="H29" s="8" t="n">
        <v>120</v>
      </c>
    </row>
    <row r="30" customFormat="false" ht="14.25" hidden="false" customHeight="false" outlineLevel="0" collapsed="false">
      <c r="A30" s="44"/>
      <c r="B30" s="45" t="n">
        <v>10</v>
      </c>
      <c r="C30" s="9" t="s">
        <v>41</v>
      </c>
      <c r="D30" s="10" t="n">
        <v>250</v>
      </c>
      <c r="E30" s="8" t="s">
        <v>51</v>
      </c>
      <c r="F30" s="8" t="s">
        <v>51</v>
      </c>
      <c r="G30" s="8" t="n">
        <v>150</v>
      </c>
      <c r="H30" s="8" t="n">
        <v>120</v>
      </c>
    </row>
    <row r="31" customFormat="false" ht="14.25" hidden="false" customHeight="false" outlineLevel="0" collapsed="false">
      <c r="A31" s="44"/>
      <c r="B31" s="45" t="n">
        <v>11</v>
      </c>
      <c r="C31" s="9" t="s">
        <v>42</v>
      </c>
      <c r="D31" s="10" t="n">
        <v>250</v>
      </c>
      <c r="E31" s="8" t="s">
        <v>51</v>
      </c>
      <c r="F31" s="8" t="s">
        <v>51</v>
      </c>
      <c r="G31" s="8" t="n">
        <v>150</v>
      </c>
      <c r="H31" s="8" t="n">
        <v>120</v>
      </c>
    </row>
    <row r="32" customFormat="false" ht="14.25" hidden="false" customHeight="false" outlineLevel="0" collapsed="false">
      <c r="A32" s="44"/>
      <c r="B32" s="45" t="n">
        <v>12</v>
      </c>
      <c r="C32" s="9" t="s">
        <v>43</v>
      </c>
      <c r="D32" s="10" t="n">
        <v>250</v>
      </c>
      <c r="E32" s="8" t="s">
        <v>51</v>
      </c>
      <c r="F32" s="8" t="s">
        <v>51</v>
      </c>
      <c r="G32" s="8" t="n">
        <v>150</v>
      </c>
      <c r="H32" s="8" t="n">
        <v>120</v>
      </c>
    </row>
    <row r="33" customFormat="false" ht="14.25" hidden="false" customHeight="false" outlineLevel="0" collapsed="false">
      <c r="A33" s="44"/>
      <c r="B33" s="45" t="n">
        <v>13</v>
      </c>
      <c r="C33" s="9" t="s">
        <v>44</v>
      </c>
      <c r="D33" s="10" t="n">
        <v>250</v>
      </c>
      <c r="E33" s="8" t="s">
        <v>51</v>
      </c>
      <c r="F33" s="8" t="s">
        <v>51</v>
      </c>
      <c r="G33" s="8" t="n">
        <v>150</v>
      </c>
      <c r="H33" s="8" t="n">
        <v>120</v>
      </c>
    </row>
    <row r="34" customFormat="false" ht="14.25" hidden="false" customHeight="false" outlineLevel="0" collapsed="false">
      <c r="A34" s="44"/>
      <c r="B34" s="45" t="n">
        <v>14</v>
      </c>
      <c r="C34" s="9" t="s">
        <v>45</v>
      </c>
      <c r="D34" s="10" t="n">
        <v>250</v>
      </c>
      <c r="E34" s="8" t="s">
        <v>51</v>
      </c>
      <c r="F34" s="8" t="s">
        <v>51</v>
      </c>
      <c r="G34" s="8" t="n">
        <v>150</v>
      </c>
      <c r="H34" s="8" t="n">
        <v>120</v>
      </c>
    </row>
    <row r="35" customFormat="false" ht="14.25" hidden="false" customHeight="false" outlineLevel="0" collapsed="false">
      <c r="A35" s="44"/>
      <c r="B35" s="45" t="n">
        <v>15</v>
      </c>
      <c r="C35" s="9" t="s">
        <v>46</v>
      </c>
      <c r="D35" s="10" t="n">
        <v>100</v>
      </c>
      <c r="E35" s="8" t="s">
        <v>52</v>
      </c>
      <c r="F35" s="8" t="s">
        <v>52</v>
      </c>
      <c r="G35" s="8" t="n">
        <v>240</v>
      </c>
      <c r="H35" s="8" t="n">
        <v>192</v>
      </c>
    </row>
    <row r="36" customFormat="false" ht="14.25" hidden="false" customHeight="false" outlineLevel="0" collapsed="false">
      <c r="A36" s="44"/>
      <c r="B36" s="45" t="n">
        <v>16</v>
      </c>
      <c r="C36" s="9" t="s">
        <v>48</v>
      </c>
      <c r="D36" s="10" t="n">
        <v>100</v>
      </c>
      <c r="E36" s="8" t="s">
        <v>52</v>
      </c>
      <c r="F36" s="8" t="s">
        <v>52</v>
      </c>
      <c r="G36" s="8" t="n">
        <v>240</v>
      </c>
      <c r="H36" s="8" t="n">
        <v>192</v>
      </c>
    </row>
    <row r="37" customFormat="false" ht="14.25" hidden="false" customHeight="false" outlineLevel="0" collapsed="false">
      <c r="A37" s="44"/>
      <c r="B37" s="45" t="n">
        <v>17</v>
      </c>
      <c r="C37" s="9" t="s">
        <v>49</v>
      </c>
      <c r="D37" s="10" t="n">
        <v>100</v>
      </c>
      <c r="E37" s="8" t="s">
        <v>52</v>
      </c>
      <c r="F37" s="8" t="s">
        <v>52</v>
      </c>
      <c r="G37" s="8" t="n">
        <v>240</v>
      </c>
      <c r="H37" s="8" t="n">
        <v>192</v>
      </c>
    </row>
    <row r="38" customFormat="false" ht="14.25" hidden="false" customHeight="false" outlineLevel="0" collapsed="false">
      <c r="A38" s="44"/>
      <c r="B38" s="45" t="n">
        <v>18</v>
      </c>
      <c r="C38" s="9" t="s">
        <v>50</v>
      </c>
      <c r="D38" s="10" t="n">
        <v>100</v>
      </c>
      <c r="E38" s="8" t="s">
        <v>52</v>
      </c>
      <c r="F38" s="8" t="s">
        <v>52</v>
      </c>
      <c r="G38" s="8" t="n">
        <v>240</v>
      </c>
      <c r="H38" s="8" t="n">
        <v>192</v>
      </c>
    </row>
    <row r="39" customFormat="false" ht="14.25" hidden="false" customHeight="false" outlineLevel="0" collapsed="false">
      <c r="A39" s="44"/>
      <c r="B39" s="45"/>
      <c r="C39" s="12" t="s">
        <v>53</v>
      </c>
      <c r="D39" s="8" t="n">
        <v>250</v>
      </c>
      <c r="E39" s="8" t="s">
        <v>54</v>
      </c>
      <c r="F39" s="8" t="s">
        <v>55</v>
      </c>
      <c r="G39" s="8" t="n">
        <v>90</v>
      </c>
      <c r="H39" s="8" t="n">
        <v>72</v>
      </c>
    </row>
    <row r="40" customFormat="false" ht="14.25" hidden="false" customHeight="false" outlineLevel="0" collapsed="false">
      <c r="A40" s="44"/>
      <c r="B40" s="45" t="n">
        <v>1</v>
      </c>
      <c r="C40" s="12" t="s">
        <v>350</v>
      </c>
      <c r="D40" s="8" t="n">
        <v>50</v>
      </c>
      <c r="E40" s="8" t="s">
        <v>57</v>
      </c>
      <c r="F40" s="8" t="s">
        <v>57</v>
      </c>
      <c r="G40" s="8" t="n">
        <v>50</v>
      </c>
      <c r="H40" s="8" t="n">
        <v>40</v>
      </c>
    </row>
    <row r="41" customFormat="false" ht="14.25" hidden="false" customHeight="false" outlineLevel="0" collapsed="false">
      <c r="A41" s="44"/>
      <c r="B41" s="45" t="n">
        <v>2</v>
      </c>
      <c r="C41" s="12" t="s">
        <v>351</v>
      </c>
      <c r="D41" s="8" t="n">
        <v>50</v>
      </c>
      <c r="E41" s="8" t="s">
        <v>57</v>
      </c>
      <c r="F41" s="8" t="s">
        <v>57</v>
      </c>
      <c r="G41" s="8" t="n">
        <v>50</v>
      </c>
      <c r="H41" s="8" t="n">
        <v>40</v>
      </c>
    </row>
    <row r="42" customFormat="false" ht="14.25" hidden="false" customHeight="false" outlineLevel="0" collapsed="false">
      <c r="A42" s="44"/>
      <c r="B42" s="45" t="n">
        <v>3</v>
      </c>
      <c r="C42" s="12" t="s">
        <v>59</v>
      </c>
      <c r="D42" s="8" t="n">
        <v>50</v>
      </c>
      <c r="E42" s="8" t="s">
        <v>57</v>
      </c>
      <c r="F42" s="8" t="s">
        <v>57</v>
      </c>
      <c r="G42" s="8" t="n">
        <v>50</v>
      </c>
      <c r="H42" s="8" t="n">
        <v>40</v>
      </c>
    </row>
    <row r="43" customFormat="false" ht="14.25" hidden="false" customHeight="false" outlineLevel="0" collapsed="false">
      <c r="A43" s="44"/>
      <c r="B43" s="45" t="n">
        <v>4</v>
      </c>
      <c r="C43" s="12" t="s">
        <v>60</v>
      </c>
      <c r="D43" s="8" t="n">
        <v>50</v>
      </c>
      <c r="E43" s="8" t="s">
        <v>57</v>
      </c>
      <c r="F43" s="8" t="s">
        <v>57</v>
      </c>
      <c r="G43" s="8" t="n">
        <v>50</v>
      </c>
      <c r="H43" s="8" t="n">
        <v>40</v>
      </c>
    </row>
    <row r="44" customFormat="false" ht="14.25" hidden="false" customHeight="false" outlineLevel="0" collapsed="false">
      <c r="A44" s="44"/>
      <c r="B44" s="45" t="n">
        <v>5</v>
      </c>
      <c r="C44" s="12" t="s">
        <v>61</v>
      </c>
      <c r="D44" s="8" t="n">
        <v>50</v>
      </c>
      <c r="E44" s="8" t="s">
        <v>57</v>
      </c>
      <c r="F44" s="8" t="s">
        <v>57</v>
      </c>
      <c r="G44" s="8" t="n">
        <v>50</v>
      </c>
      <c r="H44" s="8" t="n">
        <v>40</v>
      </c>
    </row>
    <row r="45" customFormat="false" ht="14.25" hidden="false" customHeight="false" outlineLevel="0" collapsed="false">
      <c r="A45" s="44"/>
      <c r="B45" s="45" t="n">
        <v>6</v>
      </c>
      <c r="C45" s="12" t="s">
        <v>352</v>
      </c>
      <c r="D45" s="8" t="n">
        <v>50</v>
      </c>
      <c r="E45" s="8" t="s">
        <v>57</v>
      </c>
      <c r="F45" s="8" t="s">
        <v>57</v>
      </c>
      <c r="G45" s="8" t="n">
        <v>50</v>
      </c>
      <c r="H45" s="8" t="n">
        <v>40</v>
      </c>
    </row>
    <row r="46" customFormat="false" ht="14.25" hidden="false" customHeight="false" outlineLevel="0" collapsed="false">
      <c r="A46" s="44"/>
      <c r="B46" s="45" t="n">
        <v>7</v>
      </c>
      <c r="C46" s="12" t="s">
        <v>353</v>
      </c>
      <c r="D46" s="8" t="n">
        <v>50</v>
      </c>
      <c r="E46" s="8" t="s">
        <v>57</v>
      </c>
      <c r="F46" s="8" t="s">
        <v>57</v>
      </c>
      <c r="G46" s="8" t="n">
        <v>50</v>
      </c>
      <c r="H46" s="8" t="n">
        <v>40</v>
      </c>
    </row>
    <row r="47" customFormat="false" ht="14.25" hidden="false" customHeight="false" outlineLevel="0" collapsed="false">
      <c r="A47" s="44"/>
      <c r="B47" s="45" t="n">
        <v>8</v>
      </c>
      <c r="C47" s="12" t="s">
        <v>64</v>
      </c>
      <c r="D47" s="8" t="n">
        <v>50</v>
      </c>
      <c r="E47" s="8" t="s">
        <v>57</v>
      </c>
      <c r="F47" s="8" t="s">
        <v>57</v>
      </c>
      <c r="G47" s="8" t="n">
        <v>50</v>
      </c>
      <c r="H47" s="8" t="n">
        <v>40</v>
      </c>
    </row>
    <row r="48" customFormat="false" ht="14.25" hidden="false" customHeight="false" outlineLevel="0" collapsed="false">
      <c r="A48" s="44"/>
      <c r="B48" s="45" t="n">
        <v>9</v>
      </c>
      <c r="C48" s="12" t="s">
        <v>354</v>
      </c>
      <c r="D48" s="8" t="n">
        <v>25</v>
      </c>
      <c r="E48" s="8" t="s">
        <v>66</v>
      </c>
      <c r="F48" s="8" t="s">
        <v>66</v>
      </c>
      <c r="G48" s="8" t="n">
        <v>50</v>
      </c>
      <c r="H48" s="8" t="n">
        <v>40</v>
      </c>
    </row>
    <row r="49" customFormat="false" ht="14.25" hidden="false" customHeight="false" outlineLevel="0" collapsed="false">
      <c r="A49" s="44"/>
      <c r="B49" s="45" t="n">
        <v>10</v>
      </c>
      <c r="C49" s="12" t="s">
        <v>67</v>
      </c>
      <c r="D49" s="8" t="n">
        <v>25</v>
      </c>
      <c r="E49" s="8" t="s">
        <v>66</v>
      </c>
      <c r="F49" s="8" t="s">
        <v>66</v>
      </c>
      <c r="G49" s="8" t="n">
        <v>50</v>
      </c>
      <c r="H49" s="8" t="n">
        <v>40</v>
      </c>
    </row>
    <row r="50" customFormat="false" ht="14.25" hidden="false" customHeight="false" outlineLevel="0" collapsed="false">
      <c r="A50" s="44"/>
      <c r="B50" s="45" t="n">
        <v>11</v>
      </c>
      <c r="C50" s="12" t="s">
        <v>355</v>
      </c>
      <c r="D50" s="8" t="n">
        <v>25</v>
      </c>
      <c r="E50" s="8" t="s">
        <v>66</v>
      </c>
      <c r="F50" s="8" t="s">
        <v>66</v>
      </c>
      <c r="G50" s="8" t="n">
        <v>50</v>
      </c>
      <c r="H50" s="8" t="n">
        <v>40</v>
      </c>
    </row>
    <row r="51" customFormat="false" ht="14.25" hidden="false" customHeight="false" outlineLevel="0" collapsed="false">
      <c r="A51" s="44"/>
      <c r="B51" s="45" t="n">
        <v>12</v>
      </c>
      <c r="C51" s="12" t="s">
        <v>356</v>
      </c>
      <c r="D51" s="8" t="n">
        <v>25</v>
      </c>
      <c r="E51" s="8" t="s">
        <v>66</v>
      </c>
      <c r="F51" s="8" t="s">
        <v>66</v>
      </c>
      <c r="G51" s="8" t="n">
        <v>50</v>
      </c>
      <c r="H51" s="8" t="n">
        <v>40</v>
      </c>
    </row>
    <row r="52" customFormat="false" ht="14.25" hidden="false" customHeight="false" outlineLevel="0" collapsed="false">
      <c r="A52" s="44"/>
      <c r="B52" s="45" t="n">
        <v>13</v>
      </c>
      <c r="C52" s="12" t="s">
        <v>357</v>
      </c>
      <c r="D52" s="8" t="n">
        <v>25</v>
      </c>
      <c r="E52" s="8" t="s">
        <v>66</v>
      </c>
      <c r="F52" s="8" t="s">
        <v>66</v>
      </c>
      <c r="G52" s="8" t="n">
        <v>50</v>
      </c>
      <c r="H52" s="8" t="n">
        <v>40</v>
      </c>
    </row>
    <row r="53" customFormat="false" ht="14.25" hidden="false" customHeight="false" outlineLevel="0" collapsed="false">
      <c r="A53" s="44"/>
      <c r="B53" s="45" t="n">
        <v>14</v>
      </c>
      <c r="C53" s="12" t="s">
        <v>71</v>
      </c>
      <c r="D53" s="8" t="n">
        <v>25</v>
      </c>
      <c r="E53" s="8" t="s">
        <v>66</v>
      </c>
      <c r="F53" s="8" t="s">
        <v>66</v>
      </c>
      <c r="G53" s="8" t="n">
        <v>50</v>
      </c>
      <c r="H53" s="8" t="n">
        <v>40</v>
      </c>
    </row>
    <row r="54" customFormat="false" ht="14.25" hidden="false" customHeight="false" outlineLevel="0" collapsed="false">
      <c r="A54" s="44"/>
      <c r="B54" s="45" t="n">
        <v>15</v>
      </c>
      <c r="C54" s="12" t="s">
        <v>358</v>
      </c>
      <c r="D54" s="8" t="n">
        <v>25</v>
      </c>
      <c r="E54" s="8" t="s">
        <v>66</v>
      </c>
      <c r="F54" s="8" t="s">
        <v>66</v>
      </c>
      <c r="G54" s="8" t="n">
        <v>50</v>
      </c>
      <c r="H54" s="8" t="n">
        <v>40</v>
      </c>
    </row>
    <row r="55" customFormat="false" ht="14.25" hidden="false" customHeight="false" outlineLevel="0" collapsed="false">
      <c r="A55" s="44"/>
      <c r="B55" s="45" t="n">
        <v>16</v>
      </c>
      <c r="C55" s="12" t="s">
        <v>73</v>
      </c>
      <c r="D55" s="8" t="n">
        <v>25</v>
      </c>
      <c r="E55" s="8" t="s">
        <v>66</v>
      </c>
      <c r="F55" s="8" t="s">
        <v>66</v>
      </c>
      <c r="G55" s="8" t="n">
        <v>50</v>
      </c>
      <c r="H55" s="8" t="n">
        <v>40</v>
      </c>
    </row>
    <row r="56" customFormat="false" ht="14.25" hidden="false" customHeight="false" outlineLevel="0" collapsed="false">
      <c r="A56" s="44"/>
      <c r="B56" s="45" t="n">
        <v>17</v>
      </c>
      <c r="C56" s="12" t="s">
        <v>74</v>
      </c>
      <c r="D56" s="8" t="n">
        <v>25</v>
      </c>
      <c r="E56" s="8" t="s">
        <v>66</v>
      </c>
      <c r="F56" s="8" t="s">
        <v>66</v>
      </c>
      <c r="G56" s="8" t="n">
        <v>50</v>
      </c>
      <c r="H56" s="8" t="n">
        <v>40</v>
      </c>
    </row>
    <row r="57" customFormat="false" ht="14.25" hidden="false" customHeight="false" outlineLevel="0" collapsed="false">
      <c r="A57" s="44"/>
      <c r="B57" s="45" t="n">
        <v>18</v>
      </c>
      <c r="C57" s="12" t="s">
        <v>75</v>
      </c>
      <c r="D57" s="8" t="n">
        <v>25</v>
      </c>
      <c r="E57" s="8" t="s">
        <v>66</v>
      </c>
      <c r="F57" s="8" t="s">
        <v>66</v>
      </c>
      <c r="G57" s="8" t="n">
        <v>50</v>
      </c>
      <c r="H57" s="8" t="n">
        <v>40</v>
      </c>
    </row>
    <row r="58" customFormat="false" ht="14.25" hidden="false" customHeight="false" outlineLevel="0" collapsed="false">
      <c r="A58" s="44"/>
      <c r="B58" s="45" t="n">
        <v>19</v>
      </c>
      <c r="C58" s="12" t="s">
        <v>76</v>
      </c>
      <c r="D58" s="8" t="n">
        <v>50</v>
      </c>
      <c r="E58" s="8" t="s">
        <v>77</v>
      </c>
      <c r="F58" s="8" t="s">
        <v>78</v>
      </c>
      <c r="G58" s="8" t="n">
        <v>75</v>
      </c>
      <c r="H58" s="8" t="n">
        <v>60</v>
      </c>
    </row>
    <row r="59" customFormat="false" ht="14.25" hidden="false" customHeight="false" outlineLevel="0" collapsed="false">
      <c r="A59" s="44"/>
      <c r="B59" s="45" t="n">
        <v>20</v>
      </c>
      <c r="C59" s="12" t="s">
        <v>79</v>
      </c>
      <c r="D59" s="8" t="n">
        <v>50</v>
      </c>
      <c r="E59" s="8" t="s">
        <v>80</v>
      </c>
      <c r="F59" s="8" t="s">
        <v>81</v>
      </c>
      <c r="G59" s="8" t="n">
        <v>100</v>
      </c>
      <c r="H59" s="8" t="n">
        <v>80</v>
      </c>
    </row>
    <row r="60" customFormat="false" ht="14.25" hidden="false" customHeight="false" outlineLevel="0" collapsed="false">
      <c r="A60" s="44"/>
      <c r="B60" s="45" t="n">
        <v>21</v>
      </c>
      <c r="C60" s="12" t="s">
        <v>82</v>
      </c>
      <c r="D60" s="8" t="n">
        <v>25</v>
      </c>
      <c r="E60" s="8" t="s">
        <v>83</v>
      </c>
      <c r="F60" s="8" t="s">
        <v>84</v>
      </c>
      <c r="G60" s="8" t="n">
        <v>100</v>
      </c>
      <c r="H60" s="8" t="n">
        <v>80</v>
      </c>
    </row>
    <row r="61" customFormat="false" ht="14.25" hidden="false" customHeight="false" outlineLevel="0" collapsed="false">
      <c r="A61" s="44"/>
      <c r="B61" s="45" t="n">
        <v>22</v>
      </c>
      <c r="C61" s="12" t="s">
        <v>85</v>
      </c>
      <c r="D61" s="8" t="n">
        <v>25</v>
      </c>
      <c r="E61" s="8" t="s">
        <v>83</v>
      </c>
      <c r="F61" s="8" t="s">
        <v>84</v>
      </c>
      <c r="G61" s="8" t="n">
        <v>100</v>
      </c>
      <c r="H61" s="8" t="n">
        <v>80</v>
      </c>
    </row>
    <row r="62" customFormat="false" ht="14.25" hidden="false" customHeight="false" outlineLevel="0" collapsed="false">
      <c r="A62" s="44"/>
      <c r="B62" s="45" t="n">
        <v>23</v>
      </c>
      <c r="C62" s="12" t="s">
        <v>86</v>
      </c>
      <c r="D62" s="8" t="n">
        <v>25</v>
      </c>
      <c r="E62" s="8" t="s">
        <v>83</v>
      </c>
      <c r="F62" s="8" t="s">
        <v>84</v>
      </c>
      <c r="G62" s="8" t="n">
        <v>100</v>
      </c>
      <c r="H62" s="8" t="n">
        <v>80</v>
      </c>
    </row>
    <row r="63" customFormat="false" ht="14.25" hidden="false" customHeight="false" outlineLevel="0" collapsed="false">
      <c r="A63" s="44"/>
      <c r="B63" s="45" t="n">
        <v>24</v>
      </c>
      <c r="C63" s="12" t="s">
        <v>87</v>
      </c>
      <c r="D63" s="8" t="n">
        <v>25</v>
      </c>
      <c r="E63" s="8" t="s">
        <v>83</v>
      </c>
      <c r="F63" s="8" t="s">
        <v>84</v>
      </c>
      <c r="G63" s="8" t="n">
        <v>100</v>
      </c>
      <c r="H63" s="8" t="n">
        <v>80</v>
      </c>
    </row>
    <row r="64" customFormat="false" ht="14.25" hidden="false" customHeight="false" outlineLevel="0" collapsed="false">
      <c r="A64" s="44"/>
      <c r="B64" s="45" t="n">
        <v>25</v>
      </c>
      <c r="C64" s="12" t="s">
        <v>88</v>
      </c>
      <c r="D64" s="8" t="n">
        <v>25</v>
      </c>
      <c r="E64" s="8" t="s">
        <v>89</v>
      </c>
      <c r="F64" s="8" t="s">
        <v>89</v>
      </c>
      <c r="G64" s="8" t="n">
        <v>80</v>
      </c>
      <c r="H64" s="8" t="n">
        <v>64</v>
      </c>
    </row>
    <row r="65" customFormat="false" ht="14.25" hidden="false" customHeight="false" outlineLevel="0" collapsed="false">
      <c r="A65" s="44"/>
      <c r="B65" s="45" t="n">
        <v>26</v>
      </c>
      <c r="C65" s="12" t="s">
        <v>90</v>
      </c>
      <c r="D65" s="8" t="n">
        <v>25</v>
      </c>
      <c r="E65" s="8" t="s">
        <v>89</v>
      </c>
      <c r="F65" s="8" t="s">
        <v>89</v>
      </c>
      <c r="G65" s="8" t="n">
        <v>80</v>
      </c>
      <c r="H65" s="8" t="n">
        <v>64</v>
      </c>
    </row>
    <row r="66" customFormat="false" ht="14.25" hidden="false" customHeight="false" outlineLevel="0" collapsed="false">
      <c r="A66" s="44"/>
      <c r="B66" s="45" t="n">
        <v>27</v>
      </c>
      <c r="C66" s="12" t="s">
        <v>91</v>
      </c>
      <c r="D66" s="8" t="n">
        <v>25</v>
      </c>
      <c r="E66" s="8" t="s">
        <v>89</v>
      </c>
      <c r="F66" s="8" t="s">
        <v>89</v>
      </c>
      <c r="G66" s="8" t="n">
        <v>80</v>
      </c>
      <c r="H66" s="8" t="n">
        <v>64</v>
      </c>
    </row>
    <row r="67" customFormat="false" ht="14.25" hidden="false" customHeight="false" outlineLevel="0" collapsed="false">
      <c r="A67" s="44"/>
      <c r="B67" s="45" t="n">
        <v>28</v>
      </c>
      <c r="C67" s="12" t="s">
        <v>92</v>
      </c>
      <c r="D67" s="8" t="n">
        <v>25</v>
      </c>
      <c r="E67" s="8" t="s">
        <v>89</v>
      </c>
      <c r="F67" s="8" t="s">
        <v>89</v>
      </c>
      <c r="G67" s="8" t="n">
        <v>80</v>
      </c>
      <c r="H67" s="8" t="n">
        <v>64</v>
      </c>
    </row>
    <row r="68" customFormat="false" ht="14.25" hidden="false" customHeight="false" outlineLevel="0" collapsed="false">
      <c r="A68" s="44"/>
      <c r="B68" s="45" t="n">
        <v>29</v>
      </c>
      <c r="C68" s="12" t="s">
        <v>359</v>
      </c>
      <c r="D68" s="8" t="n">
        <v>250</v>
      </c>
      <c r="E68" s="8" t="s">
        <v>94</v>
      </c>
      <c r="F68" s="8" t="s">
        <v>94</v>
      </c>
      <c r="G68" s="8" t="n">
        <v>350</v>
      </c>
      <c r="H68" s="8" t="n">
        <v>280</v>
      </c>
    </row>
    <row r="69" customFormat="false" ht="14.25" hidden="false" customHeight="false" outlineLevel="0" collapsed="false">
      <c r="A69" s="44"/>
      <c r="B69" s="45" t="n">
        <v>30</v>
      </c>
      <c r="C69" s="12" t="s">
        <v>360</v>
      </c>
      <c r="D69" s="8" t="n">
        <v>250</v>
      </c>
      <c r="E69" s="8" t="s">
        <v>94</v>
      </c>
      <c r="F69" s="8" t="s">
        <v>94</v>
      </c>
      <c r="G69" s="8" t="n">
        <v>350</v>
      </c>
      <c r="H69" s="8" t="n">
        <v>280</v>
      </c>
    </row>
    <row r="70" customFormat="false" ht="14.25" hidden="false" customHeight="false" outlineLevel="0" collapsed="false">
      <c r="A70" s="44"/>
      <c r="B70" s="45" t="n">
        <v>31</v>
      </c>
      <c r="C70" s="12" t="s">
        <v>96</v>
      </c>
      <c r="D70" s="8" t="n">
        <v>250</v>
      </c>
      <c r="E70" s="8" t="s">
        <v>94</v>
      </c>
      <c r="F70" s="8" t="s">
        <v>94</v>
      </c>
      <c r="G70" s="8" t="n">
        <v>350</v>
      </c>
      <c r="H70" s="8" t="n">
        <v>280</v>
      </c>
    </row>
    <row r="71" customFormat="false" ht="14.25" hidden="false" customHeight="false" outlineLevel="0" collapsed="false">
      <c r="A71" s="44"/>
      <c r="B71" s="8" t="n">
        <v>32</v>
      </c>
      <c r="C71" s="12" t="s">
        <v>97</v>
      </c>
      <c r="D71" s="8" t="n">
        <v>250</v>
      </c>
      <c r="E71" s="8" t="s">
        <v>94</v>
      </c>
      <c r="F71" s="8" t="s">
        <v>94</v>
      </c>
      <c r="G71" s="8" t="n">
        <v>350</v>
      </c>
      <c r="H71" s="8" t="n">
        <v>280</v>
      </c>
    </row>
    <row r="72" customFormat="false" ht="14.25" hidden="false" customHeight="false" outlineLevel="0" collapsed="false">
      <c r="A72" s="46"/>
      <c r="B72" s="2"/>
      <c r="G72" s="47"/>
    </row>
    <row r="73" customFormat="false" ht="30.55" hidden="false" customHeight="false" outlineLevel="0" collapsed="false">
      <c r="A73" s="48" t="e">
        <f aca="false" t="array" ref="A73:A73">B73:i105sr. no</f>
        <v>#VALUE!</v>
      </c>
      <c r="B73" s="49"/>
      <c r="C73" s="21" t="s">
        <v>0</v>
      </c>
      <c r="D73" s="21" t="s">
        <v>1</v>
      </c>
      <c r="E73" s="22" t="s">
        <v>98</v>
      </c>
      <c r="F73" s="22" t="s">
        <v>98</v>
      </c>
      <c r="G73" s="22" t="s">
        <v>361</v>
      </c>
      <c r="H73" s="22" t="s">
        <v>12</v>
      </c>
      <c r="I73" s="22" t="s">
        <v>362</v>
      </c>
      <c r="J73" s="22" t="s">
        <v>12</v>
      </c>
    </row>
    <row r="74" customFormat="false" ht="14.25" hidden="false" customHeight="false" outlineLevel="0" collapsed="false">
      <c r="A74" s="48"/>
      <c r="B74" s="24" t="n">
        <v>1</v>
      </c>
      <c r="C74" s="23" t="s">
        <v>105</v>
      </c>
      <c r="D74" s="24" t="s">
        <v>106</v>
      </c>
      <c r="E74" s="24" t="s">
        <v>107</v>
      </c>
      <c r="F74" s="24" t="s">
        <v>107</v>
      </c>
      <c r="G74" s="24" t="n">
        <v>100</v>
      </c>
      <c r="H74" s="24" t="n">
        <v>80</v>
      </c>
      <c r="I74" s="24" t="n">
        <v>270</v>
      </c>
      <c r="J74" s="24" t="n">
        <v>216</v>
      </c>
    </row>
    <row r="75" customFormat="false" ht="14.25" hidden="false" customHeight="false" outlineLevel="0" collapsed="false">
      <c r="A75" s="48"/>
      <c r="B75" s="24" t="n">
        <v>2</v>
      </c>
      <c r="C75" s="23" t="s">
        <v>108</v>
      </c>
      <c r="D75" s="24" t="s">
        <v>106</v>
      </c>
      <c r="E75" s="24" t="s">
        <v>107</v>
      </c>
      <c r="F75" s="24" t="s">
        <v>107</v>
      </c>
      <c r="G75" s="24" t="n">
        <v>125</v>
      </c>
      <c r="H75" s="24" t="n">
        <v>100</v>
      </c>
      <c r="I75" s="24" t="n">
        <v>340</v>
      </c>
      <c r="J75" s="24" t="n">
        <v>272</v>
      </c>
    </row>
    <row r="76" customFormat="false" ht="14.25" hidden="false" customHeight="false" outlineLevel="0" collapsed="false">
      <c r="A76" s="48"/>
      <c r="B76" s="24" t="n">
        <v>3</v>
      </c>
      <c r="C76" s="23" t="s">
        <v>40</v>
      </c>
      <c r="D76" s="24" t="s">
        <v>106</v>
      </c>
      <c r="E76" s="24" t="s">
        <v>107</v>
      </c>
      <c r="F76" s="24" t="s">
        <v>107</v>
      </c>
      <c r="G76" s="24" t="n">
        <v>175</v>
      </c>
      <c r="H76" s="24" t="n">
        <v>140</v>
      </c>
      <c r="I76" s="24" t="n">
        <v>470</v>
      </c>
      <c r="J76" s="24" t="n">
        <v>376</v>
      </c>
    </row>
    <row r="77" customFormat="false" ht="14.25" hidden="false" customHeight="false" outlineLevel="0" collapsed="false">
      <c r="A77" s="48"/>
      <c r="B77" s="24" t="n">
        <v>4</v>
      </c>
      <c r="C77" s="23" t="s">
        <v>109</v>
      </c>
      <c r="D77" s="24" t="s">
        <v>106</v>
      </c>
      <c r="E77" s="24" t="s">
        <v>107</v>
      </c>
      <c r="F77" s="24" t="s">
        <v>107</v>
      </c>
      <c r="G77" s="24" t="n">
        <v>137.5</v>
      </c>
      <c r="H77" s="24" t="n">
        <v>110</v>
      </c>
      <c r="I77" s="24" t="n">
        <v>370</v>
      </c>
      <c r="J77" s="24" t="n">
        <v>296</v>
      </c>
    </row>
    <row r="78" customFormat="false" ht="14.25" hidden="false" customHeight="false" outlineLevel="0" collapsed="false">
      <c r="A78" s="48"/>
      <c r="B78" s="24" t="n">
        <v>5</v>
      </c>
      <c r="C78" s="23" t="s">
        <v>110</v>
      </c>
      <c r="D78" s="24" t="s">
        <v>106</v>
      </c>
      <c r="E78" s="24" t="s">
        <v>107</v>
      </c>
      <c r="F78" s="24" t="s">
        <v>107</v>
      </c>
      <c r="G78" s="24" t="n">
        <v>137.5</v>
      </c>
      <c r="H78" s="24" t="n">
        <v>110</v>
      </c>
      <c r="I78" s="24" t="n">
        <v>370</v>
      </c>
      <c r="J78" s="24" t="n">
        <v>296</v>
      </c>
    </row>
    <row r="79" customFormat="false" ht="14.25" hidden="false" customHeight="false" outlineLevel="0" collapsed="false">
      <c r="A79" s="48"/>
      <c r="B79" s="24" t="n">
        <v>6</v>
      </c>
      <c r="C79" s="23" t="s">
        <v>111</v>
      </c>
      <c r="D79" s="24" t="s">
        <v>106</v>
      </c>
      <c r="E79" s="24" t="s">
        <v>107</v>
      </c>
      <c r="F79" s="24" t="s">
        <v>107</v>
      </c>
      <c r="G79" s="24" t="n">
        <v>225</v>
      </c>
      <c r="H79" s="24" t="n">
        <v>180</v>
      </c>
      <c r="I79" s="24" t="n">
        <v>600</v>
      </c>
      <c r="J79" s="24" t="n">
        <v>480</v>
      </c>
    </row>
    <row r="80" customFormat="false" ht="14.25" hidden="false" customHeight="false" outlineLevel="0" collapsed="false">
      <c r="A80" s="48"/>
      <c r="B80" s="24" t="n">
        <v>7</v>
      </c>
      <c r="C80" s="23" t="s">
        <v>112</v>
      </c>
      <c r="D80" s="24" t="s">
        <v>106</v>
      </c>
      <c r="E80" s="24" t="s">
        <v>107</v>
      </c>
      <c r="F80" s="24" t="s">
        <v>107</v>
      </c>
      <c r="G80" s="24" t="n">
        <v>500</v>
      </c>
      <c r="H80" s="24" t="n">
        <v>400</v>
      </c>
      <c r="I80" s="24" t="n">
        <v>1340</v>
      </c>
      <c r="J80" s="24" t="n">
        <v>1072</v>
      </c>
    </row>
    <row r="81" customFormat="false" ht="14.25" hidden="false" customHeight="false" outlineLevel="0" collapsed="false">
      <c r="A81" s="48"/>
      <c r="B81" s="24" t="n">
        <v>8</v>
      </c>
      <c r="C81" s="23" t="s">
        <v>113</v>
      </c>
      <c r="D81" s="24" t="s">
        <v>106</v>
      </c>
      <c r="E81" s="24" t="s">
        <v>107</v>
      </c>
      <c r="F81" s="24" t="s">
        <v>107</v>
      </c>
      <c r="G81" s="24" t="n">
        <v>225</v>
      </c>
      <c r="H81" s="24" t="n">
        <v>180</v>
      </c>
      <c r="I81" s="24" t="n">
        <v>600</v>
      </c>
      <c r="J81" s="24" t="n">
        <v>480</v>
      </c>
    </row>
    <row r="82" customFormat="false" ht="14.25" hidden="false" customHeight="false" outlineLevel="0" collapsed="false">
      <c r="A82" s="48"/>
      <c r="B82" s="24" t="n">
        <v>9</v>
      </c>
      <c r="C82" s="23" t="s">
        <v>114</v>
      </c>
      <c r="D82" s="24" t="s">
        <v>106</v>
      </c>
      <c r="E82" s="24" t="s">
        <v>107</v>
      </c>
      <c r="F82" s="24" t="s">
        <v>107</v>
      </c>
      <c r="G82" s="24" t="n">
        <v>150</v>
      </c>
      <c r="H82" s="24" t="n">
        <v>120</v>
      </c>
      <c r="I82" s="24" t="n">
        <v>400</v>
      </c>
      <c r="J82" s="24" t="n">
        <v>320</v>
      </c>
    </row>
    <row r="83" customFormat="false" ht="14.25" hidden="false" customHeight="false" outlineLevel="0" collapsed="false">
      <c r="A83" s="48"/>
      <c r="B83" s="24" t="n">
        <v>10</v>
      </c>
      <c r="C83" s="23" t="s">
        <v>115</v>
      </c>
      <c r="D83" s="24" t="s">
        <v>106</v>
      </c>
      <c r="E83" s="24" t="s">
        <v>107</v>
      </c>
      <c r="F83" s="24" t="s">
        <v>107</v>
      </c>
      <c r="G83" s="24" t="n">
        <v>175</v>
      </c>
      <c r="H83" s="24" t="n">
        <v>140</v>
      </c>
      <c r="I83" s="24" t="n">
        <v>470</v>
      </c>
      <c r="J83" s="24" t="n">
        <v>376</v>
      </c>
    </row>
    <row r="84" customFormat="false" ht="14.25" hidden="false" customHeight="false" outlineLevel="0" collapsed="false">
      <c r="A84" s="48"/>
      <c r="B84" s="24" t="n">
        <v>11</v>
      </c>
      <c r="C84" s="23" t="s">
        <v>116</v>
      </c>
      <c r="D84" s="24" t="s">
        <v>106</v>
      </c>
      <c r="E84" s="24" t="s">
        <v>107</v>
      </c>
      <c r="F84" s="24" t="s">
        <v>107</v>
      </c>
      <c r="G84" s="24" t="n">
        <v>162.5</v>
      </c>
      <c r="H84" s="24" t="n">
        <v>130</v>
      </c>
      <c r="I84" s="24" t="n">
        <v>440</v>
      </c>
      <c r="J84" s="24" t="n">
        <v>352</v>
      </c>
    </row>
    <row r="85" s="18" customFormat="true" ht="14.25" hidden="false" customHeight="false" outlineLevel="0" collapsed="false">
      <c r="A85" s="48"/>
      <c r="B85" s="24" t="n">
        <v>12</v>
      </c>
      <c r="C85" s="23" t="s">
        <v>117</v>
      </c>
      <c r="D85" s="24" t="s">
        <v>106</v>
      </c>
      <c r="E85" s="24" t="s">
        <v>107</v>
      </c>
      <c r="F85" s="24" t="s">
        <v>107</v>
      </c>
      <c r="G85" s="24" t="n">
        <v>150</v>
      </c>
      <c r="H85" s="24" t="n">
        <v>120</v>
      </c>
      <c r="I85" s="24" t="n">
        <v>400</v>
      </c>
      <c r="J85" s="24" t="n">
        <v>320</v>
      </c>
    </row>
    <row r="86" customFormat="false" ht="14.25" hidden="false" customHeight="false" outlineLevel="0" collapsed="false">
      <c r="A86" s="48"/>
      <c r="B86" s="24" t="n">
        <v>13</v>
      </c>
      <c r="C86" s="23" t="s">
        <v>118</v>
      </c>
      <c r="D86" s="24" t="s">
        <v>106</v>
      </c>
      <c r="E86" s="24" t="s">
        <v>107</v>
      </c>
      <c r="F86" s="24" t="s">
        <v>107</v>
      </c>
      <c r="G86" s="24" t="n">
        <v>225</v>
      </c>
      <c r="H86" s="24" t="n">
        <v>180</v>
      </c>
      <c r="I86" s="24" t="n">
        <v>600</v>
      </c>
      <c r="J86" s="24" t="n">
        <v>480</v>
      </c>
    </row>
    <row r="87" customFormat="false" ht="14.25" hidden="false" customHeight="false" outlineLevel="0" collapsed="false">
      <c r="A87" s="48"/>
      <c r="B87" s="24" t="n">
        <v>14</v>
      </c>
      <c r="C87" s="23" t="s">
        <v>119</v>
      </c>
      <c r="D87" s="24" t="s">
        <v>106</v>
      </c>
      <c r="E87" s="24" t="s">
        <v>107</v>
      </c>
      <c r="F87" s="24" t="s">
        <v>107</v>
      </c>
      <c r="G87" s="24" t="n">
        <v>175</v>
      </c>
      <c r="H87" s="24" t="n">
        <v>140</v>
      </c>
      <c r="I87" s="24" t="n">
        <v>470</v>
      </c>
      <c r="J87" s="24" t="n">
        <v>376</v>
      </c>
    </row>
    <row r="88" customFormat="false" ht="14.25" hidden="false" customHeight="false" outlineLevel="0" collapsed="false">
      <c r="A88" s="48"/>
      <c r="B88" s="24" t="n">
        <v>15</v>
      </c>
      <c r="C88" s="23" t="s">
        <v>120</v>
      </c>
      <c r="D88" s="24" t="s">
        <v>106</v>
      </c>
      <c r="E88" s="24" t="s">
        <v>107</v>
      </c>
      <c r="F88" s="24" t="s">
        <v>107</v>
      </c>
      <c r="G88" s="24" t="n">
        <v>162.5</v>
      </c>
      <c r="H88" s="24" t="n">
        <v>130</v>
      </c>
      <c r="I88" s="24" t="n">
        <v>440</v>
      </c>
      <c r="J88" s="24" t="n">
        <v>352</v>
      </c>
    </row>
    <row r="89" customFormat="false" ht="14.25" hidden="false" customHeight="false" outlineLevel="0" collapsed="false">
      <c r="A89" s="48"/>
      <c r="B89" s="24" t="n">
        <v>16</v>
      </c>
      <c r="C89" s="23" t="s">
        <v>121</v>
      </c>
      <c r="D89" s="24" t="s">
        <v>106</v>
      </c>
      <c r="E89" s="24" t="s">
        <v>107</v>
      </c>
      <c r="F89" s="24" t="s">
        <v>107</v>
      </c>
      <c r="G89" s="24" t="n">
        <v>125</v>
      </c>
      <c r="H89" s="24" t="n">
        <v>100</v>
      </c>
      <c r="I89" s="24" t="n">
        <v>340</v>
      </c>
      <c r="J89" s="24" t="n">
        <v>272</v>
      </c>
    </row>
    <row r="90" customFormat="false" ht="14.25" hidden="false" customHeight="false" outlineLevel="0" collapsed="false">
      <c r="A90" s="48"/>
      <c r="B90" s="24" t="n">
        <v>17</v>
      </c>
      <c r="C90" s="23" t="s">
        <v>122</v>
      </c>
      <c r="D90" s="24" t="s">
        <v>106</v>
      </c>
      <c r="E90" s="24" t="s">
        <v>107</v>
      </c>
      <c r="F90" s="24" t="s">
        <v>107</v>
      </c>
      <c r="G90" s="24" t="n">
        <v>125</v>
      </c>
      <c r="H90" s="24" t="n">
        <v>100</v>
      </c>
      <c r="I90" s="24" t="n">
        <v>340</v>
      </c>
      <c r="J90" s="24" t="n">
        <v>272</v>
      </c>
    </row>
    <row r="91" customFormat="false" ht="14.25" hidden="false" customHeight="false" outlineLevel="0" collapsed="false">
      <c r="A91" s="48"/>
      <c r="B91" s="24" t="n">
        <v>18</v>
      </c>
      <c r="C91" s="23" t="s">
        <v>123</v>
      </c>
      <c r="D91" s="24" t="s">
        <v>106</v>
      </c>
      <c r="E91" s="24" t="s">
        <v>107</v>
      </c>
      <c r="F91" s="24" t="s">
        <v>107</v>
      </c>
      <c r="G91" s="24" t="n">
        <v>225</v>
      </c>
      <c r="H91" s="24" t="n">
        <v>180</v>
      </c>
      <c r="I91" s="24" t="n">
        <v>600</v>
      </c>
      <c r="J91" s="24" t="n">
        <v>480</v>
      </c>
    </row>
    <row r="92" customFormat="false" ht="14.25" hidden="false" customHeight="false" outlineLevel="0" collapsed="false">
      <c r="A92" s="48"/>
      <c r="B92" s="24" t="n">
        <v>19</v>
      </c>
      <c r="C92" s="23" t="s">
        <v>124</v>
      </c>
      <c r="D92" s="24" t="s">
        <v>106</v>
      </c>
      <c r="E92" s="24" t="s">
        <v>107</v>
      </c>
      <c r="F92" s="24" t="s">
        <v>107</v>
      </c>
      <c r="G92" s="24" t="n">
        <v>225</v>
      </c>
      <c r="H92" s="24" t="n">
        <v>180</v>
      </c>
      <c r="I92" s="24" t="n">
        <v>600</v>
      </c>
      <c r="J92" s="24" t="n">
        <v>480</v>
      </c>
    </row>
    <row r="93" customFormat="false" ht="14.25" hidden="false" customHeight="false" outlineLevel="0" collapsed="false">
      <c r="A93" s="48"/>
      <c r="B93" s="24" t="n">
        <v>20</v>
      </c>
      <c r="C93" s="23" t="s">
        <v>125</v>
      </c>
      <c r="D93" s="24" t="s">
        <v>106</v>
      </c>
      <c r="E93" s="24" t="s">
        <v>107</v>
      </c>
      <c r="F93" s="24" t="s">
        <v>107</v>
      </c>
      <c r="G93" s="24" t="n">
        <v>200</v>
      </c>
      <c r="H93" s="24" t="n">
        <v>160</v>
      </c>
      <c r="I93" s="24" t="n">
        <v>540</v>
      </c>
      <c r="J93" s="24" t="n">
        <v>432</v>
      </c>
    </row>
    <row r="94" customFormat="false" ht="14.25" hidden="false" customHeight="false" outlineLevel="0" collapsed="false">
      <c r="A94" s="48"/>
      <c r="B94" s="24" t="n">
        <v>21</v>
      </c>
      <c r="C94" s="23" t="s">
        <v>126</v>
      </c>
      <c r="D94" s="24" t="s">
        <v>106</v>
      </c>
      <c r="E94" s="24" t="s">
        <v>107</v>
      </c>
      <c r="F94" s="24" t="s">
        <v>107</v>
      </c>
      <c r="G94" s="24" t="n">
        <v>175</v>
      </c>
      <c r="H94" s="24" t="n">
        <v>140</v>
      </c>
      <c r="I94" s="24" t="n">
        <v>470</v>
      </c>
      <c r="J94" s="24" t="n">
        <v>376</v>
      </c>
    </row>
    <row r="95" customFormat="false" ht="14.25" hidden="false" customHeight="false" outlineLevel="0" collapsed="false">
      <c r="A95" s="48"/>
      <c r="B95" s="24" t="n">
        <v>22</v>
      </c>
      <c r="C95" s="23" t="s">
        <v>127</v>
      </c>
      <c r="D95" s="24" t="s">
        <v>106</v>
      </c>
      <c r="E95" s="24" t="s">
        <v>107</v>
      </c>
      <c r="F95" s="24" t="s">
        <v>107</v>
      </c>
      <c r="G95" s="24" t="n">
        <v>250</v>
      </c>
      <c r="H95" s="24" t="n">
        <v>200</v>
      </c>
      <c r="I95" s="24" t="n">
        <v>670</v>
      </c>
      <c r="J95" s="24" t="n">
        <v>536</v>
      </c>
    </row>
    <row r="96" customFormat="false" ht="14.25" hidden="false" customHeight="false" outlineLevel="0" collapsed="false">
      <c r="A96" s="48"/>
      <c r="B96" s="24" t="n">
        <v>23</v>
      </c>
      <c r="C96" s="23" t="s">
        <v>128</v>
      </c>
      <c r="D96" s="24" t="s">
        <v>106</v>
      </c>
      <c r="E96" s="24" t="s">
        <v>107</v>
      </c>
      <c r="F96" s="24" t="s">
        <v>107</v>
      </c>
      <c r="G96" s="24" t="n">
        <v>175</v>
      </c>
      <c r="H96" s="24" t="n">
        <v>140</v>
      </c>
      <c r="I96" s="24" t="n">
        <v>470</v>
      </c>
      <c r="J96" s="24" t="n">
        <v>376</v>
      </c>
    </row>
    <row r="97" customFormat="false" ht="14.25" hidden="false" customHeight="false" outlineLevel="0" collapsed="false">
      <c r="A97" s="48"/>
      <c r="B97" s="24" t="n">
        <v>24</v>
      </c>
      <c r="C97" s="23" t="s">
        <v>129</v>
      </c>
      <c r="D97" s="24" t="s">
        <v>106</v>
      </c>
      <c r="E97" s="24" t="s">
        <v>107</v>
      </c>
      <c r="F97" s="24" t="s">
        <v>107</v>
      </c>
      <c r="G97" s="24" t="n">
        <v>175</v>
      </c>
      <c r="H97" s="24" t="n">
        <v>140</v>
      </c>
      <c r="I97" s="24" t="n">
        <v>470</v>
      </c>
      <c r="J97" s="24" t="n">
        <v>376</v>
      </c>
    </row>
    <row r="98" customFormat="false" ht="14.25" hidden="false" customHeight="false" outlineLevel="0" collapsed="false">
      <c r="A98" s="48"/>
      <c r="B98" s="24" t="n">
        <v>25</v>
      </c>
      <c r="C98" s="23" t="s">
        <v>130</v>
      </c>
      <c r="D98" s="24" t="s">
        <v>106</v>
      </c>
      <c r="E98" s="24" t="s">
        <v>107</v>
      </c>
      <c r="F98" s="24" t="s">
        <v>107</v>
      </c>
      <c r="G98" s="24" t="n">
        <v>200</v>
      </c>
      <c r="H98" s="24" t="n">
        <v>160</v>
      </c>
      <c r="I98" s="24" t="n">
        <v>540</v>
      </c>
      <c r="J98" s="24" t="n">
        <v>432</v>
      </c>
    </row>
    <row r="99" customFormat="false" ht="14.25" hidden="false" customHeight="false" outlineLevel="0" collapsed="false">
      <c r="A99" s="48"/>
      <c r="B99" s="24" t="n">
        <v>26</v>
      </c>
      <c r="C99" s="23" t="s">
        <v>131</v>
      </c>
      <c r="D99" s="24" t="s">
        <v>106</v>
      </c>
      <c r="E99" s="24" t="s">
        <v>107</v>
      </c>
      <c r="F99" s="24" t="s">
        <v>107</v>
      </c>
      <c r="G99" s="24" t="n">
        <v>150</v>
      </c>
      <c r="H99" s="24" t="n">
        <v>120</v>
      </c>
      <c r="I99" s="24" t="n">
        <v>400</v>
      </c>
      <c r="J99" s="24" t="n">
        <v>320</v>
      </c>
    </row>
    <row r="100" customFormat="false" ht="14.25" hidden="false" customHeight="false" outlineLevel="0" collapsed="false">
      <c r="A100" s="48"/>
      <c r="B100" s="24" t="n">
        <v>27</v>
      </c>
      <c r="C100" s="23" t="s">
        <v>132</v>
      </c>
      <c r="D100" s="24" t="s">
        <v>106</v>
      </c>
      <c r="E100" s="24" t="s">
        <v>107</v>
      </c>
      <c r="F100" s="24" t="s">
        <v>107</v>
      </c>
      <c r="G100" s="24" t="n">
        <v>225</v>
      </c>
      <c r="H100" s="24" t="n">
        <v>180</v>
      </c>
      <c r="I100" s="24" t="n">
        <v>600</v>
      </c>
      <c r="J100" s="24" t="n">
        <v>480</v>
      </c>
    </row>
    <row r="101" customFormat="false" ht="14.25" hidden="false" customHeight="false" outlineLevel="0" collapsed="false">
      <c r="A101" s="48"/>
      <c r="B101" s="24" t="n">
        <v>28</v>
      </c>
      <c r="C101" s="23" t="s">
        <v>133</v>
      </c>
      <c r="D101" s="24" t="s">
        <v>106</v>
      </c>
      <c r="E101" s="24" t="s">
        <v>107</v>
      </c>
      <c r="F101" s="24" t="s">
        <v>107</v>
      </c>
      <c r="G101" s="24" t="n">
        <v>200</v>
      </c>
      <c r="H101" s="24" t="n">
        <v>160</v>
      </c>
      <c r="I101" s="24" t="n">
        <v>540</v>
      </c>
      <c r="J101" s="24" t="n">
        <v>432</v>
      </c>
    </row>
    <row r="102" customFormat="false" ht="14.25" hidden="false" customHeight="false" outlineLevel="0" collapsed="false">
      <c r="A102" s="48"/>
      <c r="B102" s="24" t="n">
        <v>29</v>
      </c>
      <c r="C102" s="23" t="s">
        <v>134</v>
      </c>
      <c r="D102" s="24" t="s">
        <v>106</v>
      </c>
      <c r="E102" s="24" t="s">
        <v>107</v>
      </c>
      <c r="F102" s="24" t="s">
        <v>107</v>
      </c>
      <c r="G102" s="24" t="n">
        <v>225</v>
      </c>
      <c r="H102" s="24" t="n">
        <v>180</v>
      </c>
      <c r="I102" s="24" t="n">
        <v>600</v>
      </c>
      <c r="J102" s="24" t="n">
        <v>480</v>
      </c>
    </row>
    <row r="103" customFormat="false" ht="14.25" hidden="false" customHeight="false" outlineLevel="0" collapsed="false">
      <c r="A103" s="48"/>
      <c r="B103" s="24" t="n">
        <v>30</v>
      </c>
      <c r="C103" s="23" t="s">
        <v>135</v>
      </c>
      <c r="D103" s="24" t="s">
        <v>106</v>
      </c>
      <c r="E103" s="24" t="s">
        <v>107</v>
      </c>
      <c r="F103" s="24" t="s">
        <v>107</v>
      </c>
      <c r="G103" s="24" t="n">
        <v>312.5</v>
      </c>
      <c r="H103" s="24" t="n">
        <v>250</v>
      </c>
      <c r="I103" s="24" t="n">
        <v>840</v>
      </c>
      <c r="J103" s="24" t="n">
        <v>672</v>
      </c>
    </row>
    <row r="104" customFormat="false" ht="14.25" hidden="false" customHeight="false" outlineLevel="0" collapsed="false">
      <c r="A104" s="48"/>
      <c r="B104" s="24" t="n">
        <v>31</v>
      </c>
      <c r="C104" s="23" t="s">
        <v>136</v>
      </c>
      <c r="D104" s="24" t="s">
        <v>106</v>
      </c>
      <c r="E104" s="24" t="s">
        <v>107</v>
      </c>
      <c r="F104" s="24" t="s">
        <v>107</v>
      </c>
      <c r="G104" s="24" t="n">
        <v>250</v>
      </c>
      <c r="H104" s="24" t="n">
        <v>200</v>
      </c>
      <c r="I104" s="24" t="n">
        <v>670</v>
      </c>
      <c r="J104" s="24" t="n">
        <v>536</v>
      </c>
    </row>
    <row r="105" customFormat="false" ht="14.25" hidden="false" customHeight="false" outlineLevel="0" collapsed="false">
      <c r="A105" s="48"/>
      <c r="B105" s="24" t="n">
        <v>32</v>
      </c>
      <c r="C105" s="23" t="s">
        <v>137</v>
      </c>
      <c r="D105" s="24" t="s">
        <v>106</v>
      </c>
      <c r="E105" s="24" t="s">
        <v>107</v>
      </c>
      <c r="F105" s="24" t="s">
        <v>107</v>
      </c>
      <c r="G105" s="24" t="n">
        <v>250</v>
      </c>
      <c r="H105" s="24" t="n">
        <v>200</v>
      </c>
      <c r="I105" s="24" t="n">
        <v>670</v>
      </c>
      <c r="J105" s="24" t="n">
        <v>536</v>
      </c>
    </row>
    <row r="106" customFormat="false" ht="14.25" hidden="false" customHeight="false" outlineLevel="0" collapsed="false">
      <c r="A106" s="48"/>
      <c r="B106" s="24" t="n">
        <v>33</v>
      </c>
      <c r="C106" s="23" t="s">
        <v>138</v>
      </c>
      <c r="D106" s="24" t="s">
        <v>106</v>
      </c>
      <c r="E106" s="24" t="s">
        <v>107</v>
      </c>
      <c r="F106" s="24" t="s">
        <v>107</v>
      </c>
      <c r="G106" s="24" t="n">
        <v>250</v>
      </c>
      <c r="H106" s="24" t="n">
        <v>200</v>
      </c>
      <c r="I106" s="24" t="n">
        <v>670</v>
      </c>
      <c r="J106" s="24" t="n">
        <v>536</v>
      </c>
    </row>
    <row r="107" customFormat="false" ht="14.25" hidden="false" customHeight="false" outlineLevel="0" collapsed="false">
      <c r="A107" s="48"/>
      <c r="B107" s="24" t="n">
        <v>34</v>
      </c>
      <c r="C107" s="23" t="s">
        <v>139</v>
      </c>
      <c r="D107" s="24" t="s">
        <v>106</v>
      </c>
      <c r="E107" s="24" t="s">
        <v>107</v>
      </c>
      <c r="F107" s="24" t="s">
        <v>107</v>
      </c>
      <c r="G107" s="24" t="n">
        <v>250</v>
      </c>
      <c r="H107" s="24" t="n">
        <v>200</v>
      </c>
      <c r="I107" s="24" t="n">
        <v>670</v>
      </c>
      <c r="J107" s="24" t="n">
        <v>536</v>
      </c>
    </row>
    <row r="108" customFormat="false" ht="14.25" hidden="false" customHeight="false" outlineLevel="0" collapsed="false">
      <c r="A108" s="48"/>
      <c r="B108" s="24" t="n">
        <v>35</v>
      </c>
      <c r="C108" s="23" t="s">
        <v>141</v>
      </c>
      <c r="D108" s="24" t="s">
        <v>106</v>
      </c>
      <c r="E108" s="24" t="s">
        <v>107</v>
      </c>
      <c r="F108" s="24" t="s">
        <v>107</v>
      </c>
      <c r="G108" s="24" t="n">
        <v>325</v>
      </c>
      <c r="H108" s="24" t="n">
        <v>260</v>
      </c>
      <c r="I108" s="24" t="n">
        <v>870</v>
      </c>
      <c r="J108" s="24" t="n">
        <v>696</v>
      </c>
    </row>
    <row r="109" customFormat="false" ht="14.25" hidden="false" customHeight="false" outlineLevel="0" collapsed="false">
      <c r="A109" s="46"/>
      <c r="B109" s="2"/>
      <c r="G109" s="47"/>
    </row>
    <row r="110" customFormat="false" ht="48.75" hidden="false" customHeight="true" outlineLevel="0" collapsed="false">
      <c r="B110" s="21" t="s">
        <v>0</v>
      </c>
      <c r="C110" s="21" t="s">
        <v>1</v>
      </c>
      <c r="D110" s="22" t="s">
        <v>98</v>
      </c>
      <c r="E110" s="21" t="s">
        <v>3</v>
      </c>
      <c r="F110" s="21" t="s">
        <v>4</v>
      </c>
      <c r="G110" s="21" t="s">
        <v>13</v>
      </c>
      <c r="H110" s="22" t="s">
        <v>12</v>
      </c>
    </row>
    <row r="111" customFormat="false" ht="15" hidden="false" customHeight="true" outlineLevel="0" collapsed="false">
      <c r="A111" s="48" t="s">
        <v>363</v>
      </c>
      <c r="B111" s="50" t="n">
        <v>1</v>
      </c>
      <c r="C111" s="51" t="s">
        <v>142</v>
      </c>
      <c r="D111" s="52" t="n">
        <v>1</v>
      </c>
      <c r="E111" s="52" t="s">
        <v>143</v>
      </c>
      <c r="F111" s="52" t="s">
        <v>143</v>
      </c>
      <c r="G111" s="52" t="n">
        <v>850</v>
      </c>
      <c r="H111" s="8" t="n">
        <v>680</v>
      </c>
    </row>
    <row r="112" customFormat="false" ht="14.25" hidden="false" customHeight="false" outlineLevel="0" collapsed="false">
      <c r="A112" s="48"/>
      <c r="B112" s="45" t="n">
        <v>2</v>
      </c>
      <c r="C112" s="9" t="s">
        <v>144</v>
      </c>
      <c r="D112" s="52" t="n">
        <v>1</v>
      </c>
      <c r="E112" s="8" t="s">
        <v>143</v>
      </c>
      <c r="F112" s="8" t="s">
        <v>143</v>
      </c>
      <c r="G112" s="8" t="n">
        <v>850</v>
      </c>
      <c r="H112" s="8" t="n">
        <v>680</v>
      </c>
    </row>
    <row r="113" customFormat="false" ht="14.25" hidden="false" customHeight="false" outlineLevel="0" collapsed="false">
      <c r="A113" s="48"/>
      <c r="B113" s="45" t="n">
        <v>3</v>
      </c>
      <c r="C113" s="9" t="s">
        <v>117</v>
      </c>
      <c r="D113" s="52" t="n">
        <v>1</v>
      </c>
      <c r="E113" s="8" t="s">
        <v>143</v>
      </c>
      <c r="F113" s="8" t="s">
        <v>143</v>
      </c>
      <c r="G113" s="8" t="n">
        <v>700</v>
      </c>
      <c r="H113" s="8" t="n">
        <v>560</v>
      </c>
    </row>
    <row r="114" customFormat="false" ht="14.25" hidden="false" customHeight="false" outlineLevel="0" collapsed="false">
      <c r="A114" s="48"/>
      <c r="B114" s="45" t="n">
        <v>4</v>
      </c>
      <c r="C114" s="9" t="s">
        <v>145</v>
      </c>
      <c r="D114" s="52" t="n">
        <v>1</v>
      </c>
      <c r="E114" s="8" t="s">
        <v>143</v>
      </c>
      <c r="F114" s="8" t="s">
        <v>143</v>
      </c>
      <c r="G114" s="8" t="n">
        <v>700</v>
      </c>
      <c r="H114" s="8" t="n">
        <v>560</v>
      </c>
    </row>
    <row r="115" customFormat="false" ht="14.25" hidden="false" customHeight="false" outlineLevel="0" collapsed="false">
      <c r="A115" s="48"/>
      <c r="B115" s="45" t="n">
        <v>5</v>
      </c>
      <c r="C115" s="9" t="s">
        <v>146</v>
      </c>
      <c r="D115" s="52" t="n">
        <v>1</v>
      </c>
      <c r="E115" s="8" t="s">
        <v>143</v>
      </c>
      <c r="F115" s="8" t="s">
        <v>143</v>
      </c>
      <c r="G115" s="8" t="n">
        <v>700</v>
      </c>
      <c r="H115" s="8" t="n">
        <v>560</v>
      </c>
    </row>
    <row r="116" customFormat="false" ht="14.25" hidden="false" customHeight="false" outlineLevel="0" collapsed="false">
      <c r="A116" s="48"/>
      <c r="B116" s="45" t="n">
        <v>6</v>
      </c>
      <c r="C116" s="9" t="s">
        <v>147</v>
      </c>
      <c r="D116" s="52" t="n">
        <v>1</v>
      </c>
      <c r="E116" s="8" t="s">
        <v>143</v>
      </c>
      <c r="F116" s="8" t="s">
        <v>143</v>
      </c>
      <c r="G116" s="8" t="n">
        <v>700</v>
      </c>
      <c r="H116" s="8" t="n">
        <v>560</v>
      </c>
    </row>
    <row r="117" customFormat="false" ht="14.25" hidden="false" customHeight="false" outlineLevel="0" collapsed="false">
      <c r="A117" s="48"/>
      <c r="B117" s="45" t="n">
        <v>7</v>
      </c>
      <c r="C117" s="9" t="s">
        <v>148</v>
      </c>
      <c r="D117" s="52" t="n">
        <v>1</v>
      </c>
      <c r="E117" s="8" t="s">
        <v>143</v>
      </c>
      <c r="F117" s="8" t="s">
        <v>143</v>
      </c>
      <c r="G117" s="8" t="n">
        <v>700</v>
      </c>
      <c r="H117" s="8" t="n">
        <v>560</v>
      </c>
    </row>
    <row r="118" customFormat="false" ht="14.25" hidden="false" customHeight="false" outlineLevel="0" collapsed="false">
      <c r="A118" s="48"/>
      <c r="B118" s="45" t="n">
        <v>8</v>
      </c>
      <c r="C118" s="9" t="s">
        <v>149</v>
      </c>
      <c r="D118" s="52" t="n">
        <v>1</v>
      </c>
      <c r="E118" s="8" t="s">
        <v>143</v>
      </c>
      <c r="F118" s="8" t="s">
        <v>143</v>
      </c>
      <c r="G118" s="8" t="n">
        <v>850</v>
      </c>
      <c r="H118" s="8" t="n">
        <v>680</v>
      </c>
    </row>
    <row r="119" customFormat="false" ht="14.25" hidden="false" customHeight="false" outlineLevel="0" collapsed="false">
      <c r="A119" s="48"/>
      <c r="B119" s="45" t="n">
        <v>9</v>
      </c>
      <c r="C119" s="9" t="s">
        <v>150</v>
      </c>
      <c r="D119" s="52" t="n">
        <v>1</v>
      </c>
      <c r="E119" s="8" t="s">
        <v>143</v>
      </c>
      <c r="F119" s="8" t="s">
        <v>143</v>
      </c>
      <c r="G119" s="8" t="n">
        <v>950</v>
      </c>
      <c r="H119" s="8" t="n">
        <v>760</v>
      </c>
    </row>
    <row r="120" customFormat="false" ht="14.25" hidden="false" customHeight="false" outlineLevel="0" collapsed="false">
      <c r="A120" s="48"/>
      <c r="B120" s="45" t="n">
        <v>10</v>
      </c>
      <c r="C120" s="9" t="s">
        <v>151</v>
      </c>
      <c r="D120" s="52" t="n">
        <v>1</v>
      </c>
      <c r="E120" s="8" t="s">
        <v>143</v>
      </c>
      <c r="F120" s="8" t="s">
        <v>143</v>
      </c>
      <c r="G120" s="8" t="n">
        <v>850</v>
      </c>
      <c r="H120" s="8" t="n">
        <v>680</v>
      </c>
    </row>
    <row r="121" customFormat="false" ht="14.25" hidden="false" customHeight="false" outlineLevel="0" collapsed="false">
      <c r="A121" s="48"/>
      <c r="B121" s="45" t="n">
        <v>11</v>
      </c>
      <c r="C121" s="9" t="s">
        <v>152</v>
      </c>
      <c r="D121" s="52" t="n">
        <v>1</v>
      </c>
      <c r="E121" s="8" t="s">
        <v>143</v>
      </c>
      <c r="F121" s="8" t="s">
        <v>143</v>
      </c>
      <c r="G121" s="8" t="n">
        <v>950</v>
      </c>
      <c r="H121" s="8" t="n">
        <v>760</v>
      </c>
    </row>
    <row r="122" customFormat="false" ht="14.25" hidden="false" customHeight="false" outlineLevel="0" collapsed="false">
      <c r="A122" s="48"/>
      <c r="B122" s="45" t="n">
        <v>12</v>
      </c>
      <c r="C122" s="9" t="s">
        <v>153</v>
      </c>
      <c r="D122" s="52" t="n">
        <v>1</v>
      </c>
      <c r="E122" s="8" t="s">
        <v>143</v>
      </c>
      <c r="F122" s="8" t="s">
        <v>143</v>
      </c>
      <c r="G122" s="8" t="n">
        <v>850</v>
      </c>
      <c r="H122" s="8" t="n">
        <v>680</v>
      </c>
    </row>
    <row r="123" customFormat="false" ht="14.25" hidden="false" customHeight="false" outlineLevel="0" collapsed="false">
      <c r="A123" s="48"/>
      <c r="B123" s="45" t="n">
        <v>13</v>
      </c>
      <c r="C123" s="9" t="s">
        <v>154</v>
      </c>
      <c r="D123" s="52" t="n">
        <v>1</v>
      </c>
      <c r="E123" s="8" t="s">
        <v>143</v>
      </c>
      <c r="F123" s="8" t="s">
        <v>143</v>
      </c>
      <c r="G123" s="8" t="n">
        <v>700</v>
      </c>
      <c r="H123" s="8" t="n">
        <v>560</v>
      </c>
    </row>
    <row r="124" customFormat="false" ht="14.25" hidden="false" customHeight="false" outlineLevel="0" collapsed="false">
      <c r="A124" s="48"/>
      <c r="B124" s="45" t="n">
        <v>14</v>
      </c>
      <c r="C124" s="9" t="s">
        <v>155</v>
      </c>
      <c r="D124" s="52" t="n">
        <v>1</v>
      </c>
      <c r="E124" s="8" t="s">
        <v>143</v>
      </c>
      <c r="F124" s="8" t="s">
        <v>143</v>
      </c>
      <c r="G124" s="8" t="n">
        <v>850</v>
      </c>
      <c r="H124" s="8" t="n">
        <v>680</v>
      </c>
    </row>
    <row r="125" customFormat="false" ht="14.25" hidden="false" customHeight="false" outlineLevel="0" collapsed="false">
      <c r="A125" s="48"/>
      <c r="B125" s="45" t="n">
        <v>15</v>
      </c>
      <c r="C125" s="9" t="s">
        <v>156</v>
      </c>
      <c r="D125" s="52" t="n">
        <v>1</v>
      </c>
      <c r="E125" s="8" t="s">
        <v>143</v>
      </c>
      <c r="F125" s="8" t="s">
        <v>143</v>
      </c>
      <c r="G125" s="8" t="n">
        <v>1600</v>
      </c>
      <c r="H125" s="8" t="n">
        <v>1280</v>
      </c>
    </row>
    <row r="126" customFormat="false" ht="14.25" hidden="false" customHeight="false" outlineLevel="0" collapsed="false">
      <c r="A126" s="48"/>
      <c r="B126" s="45" t="n">
        <v>16</v>
      </c>
      <c r="C126" s="9" t="s">
        <v>157</v>
      </c>
      <c r="D126" s="52" t="n">
        <v>1</v>
      </c>
      <c r="E126" s="8" t="s">
        <v>143</v>
      </c>
      <c r="F126" s="8" t="s">
        <v>143</v>
      </c>
      <c r="G126" s="8" t="n">
        <v>1100</v>
      </c>
      <c r="H126" s="8" t="n">
        <v>880</v>
      </c>
    </row>
    <row r="127" customFormat="false" ht="14.25" hidden="false" customHeight="false" outlineLevel="0" collapsed="false">
      <c r="A127" s="48"/>
      <c r="B127" s="45" t="n">
        <v>17</v>
      </c>
      <c r="C127" s="9" t="s">
        <v>158</v>
      </c>
      <c r="D127" s="52" t="n">
        <v>1</v>
      </c>
      <c r="E127" s="8" t="s">
        <v>143</v>
      </c>
      <c r="F127" s="8" t="s">
        <v>143</v>
      </c>
      <c r="G127" s="8" t="n">
        <v>700</v>
      </c>
      <c r="H127" s="8" t="n">
        <v>560</v>
      </c>
    </row>
    <row r="128" customFormat="false" ht="14.25" hidden="false" customHeight="false" outlineLevel="0" collapsed="false">
      <c r="A128" s="48"/>
      <c r="B128" s="45" t="n">
        <v>18</v>
      </c>
      <c r="C128" s="9" t="s">
        <v>159</v>
      </c>
      <c r="D128" s="52" t="n">
        <v>1</v>
      </c>
      <c r="E128" s="8" t="s">
        <v>143</v>
      </c>
      <c r="F128" s="8" t="s">
        <v>143</v>
      </c>
      <c r="G128" s="8" t="n">
        <v>850</v>
      </c>
      <c r="H128" s="8" t="n">
        <v>680</v>
      </c>
    </row>
    <row r="129" customFormat="false" ht="14.25" hidden="false" customHeight="false" outlineLevel="0" collapsed="false">
      <c r="A129" s="48"/>
      <c r="B129" s="45" t="n">
        <v>19</v>
      </c>
      <c r="C129" s="9" t="s">
        <v>160</v>
      </c>
      <c r="D129" s="52" t="n">
        <v>1</v>
      </c>
      <c r="E129" s="8" t="s">
        <v>143</v>
      </c>
      <c r="F129" s="8" t="s">
        <v>143</v>
      </c>
      <c r="G129" s="8" t="n">
        <v>1600</v>
      </c>
      <c r="H129" s="8" t="n">
        <v>1280</v>
      </c>
    </row>
    <row r="130" customFormat="false" ht="14.25" hidden="false" customHeight="false" outlineLevel="0" collapsed="false">
      <c r="A130" s="48"/>
      <c r="B130" s="45" t="n">
        <v>20</v>
      </c>
      <c r="C130" s="9" t="s">
        <v>161</v>
      </c>
      <c r="D130" s="52" t="n">
        <v>1</v>
      </c>
      <c r="E130" s="8" t="s">
        <v>143</v>
      </c>
      <c r="F130" s="8" t="s">
        <v>143</v>
      </c>
      <c r="G130" s="8" t="n">
        <v>850</v>
      </c>
      <c r="H130" s="8" t="n">
        <v>680</v>
      </c>
    </row>
    <row r="131" customFormat="false" ht="14.25" hidden="false" customHeight="false" outlineLevel="0" collapsed="false">
      <c r="A131" s="48"/>
      <c r="B131" s="45" t="n">
        <v>21</v>
      </c>
      <c r="C131" s="12" t="s">
        <v>162</v>
      </c>
      <c r="D131" s="52" t="n">
        <v>1</v>
      </c>
      <c r="E131" s="8" t="s">
        <v>143</v>
      </c>
      <c r="F131" s="8" t="s">
        <v>143</v>
      </c>
      <c r="G131" s="8" t="n">
        <v>1100</v>
      </c>
      <c r="H131" s="8" t="n">
        <v>880</v>
      </c>
    </row>
    <row r="132" customFormat="false" ht="14.25" hidden="false" customHeight="false" outlineLevel="0" collapsed="false">
      <c r="A132" s="48"/>
      <c r="B132" s="45" t="n">
        <v>22</v>
      </c>
      <c r="C132" s="12" t="s">
        <v>163</v>
      </c>
      <c r="D132" s="52" t="n">
        <v>1</v>
      </c>
      <c r="E132" s="8" t="s">
        <v>143</v>
      </c>
      <c r="F132" s="8" t="s">
        <v>143</v>
      </c>
      <c r="G132" s="8" t="n">
        <v>850</v>
      </c>
      <c r="H132" s="8" t="n">
        <v>680</v>
      </c>
    </row>
    <row r="133" customFormat="false" ht="14.25" hidden="false" customHeight="false" outlineLevel="0" collapsed="false">
      <c r="A133" s="48"/>
      <c r="B133" s="45" t="n">
        <v>23</v>
      </c>
      <c r="C133" s="12" t="s">
        <v>164</v>
      </c>
      <c r="D133" s="52" t="n">
        <v>1</v>
      </c>
      <c r="E133" s="8" t="s">
        <v>143</v>
      </c>
      <c r="F133" s="8" t="s">
        <v>143</v>
      </c>
      <c r="G133" s="8" t="n">
        <v>1100</v>
      </c>
      <c r="H133" s="8" t="n">
        <v>880</v>
      </c>
    </row>
    <row r="134" customFormat="false" ht="14.25" hidden="false" customHeight="false" outlineLevel="0" collapsed="false">
      <c r="A134" s="48"/>
      <c r="B134" s="45" t="n">
        <v>24</v>
      </c>
      <c r="C134" s="12" t="s">
        <v>165</v>
      </c>
      <c r="D134" s="52" t="n">
        <v>1</v>
      </c>
      <c r="E134" s="8" t="s">
        <v>143</v>
      </c>
      <c r="F134" s="8" t="s">
        <v>143</v>
      </c>
      <c r="G134" s="8" t="n">
        <v>1600</v>
      </c>
      <c r="H134" s="8" t="n">
        <v>1280</v>
      </c>
    </row>
    <row r="135" customFormat="false" ht="14.25" hidden="false" customHeight="false" outlineLevel="0" collapsed="false">
      <c r="A135" s="48"/>
      <c r="B135" s="45" t="n">
        <v>25</v>
      </c>
      <c r="C135" s="12" t="s">
        <v>166</v>
      </c>
      <c r="D135" s="52" t="n">
        <v>1</v>
      </c>
      <c r="E135" s="8" t="s">
        <v>143</v>
      </c>
      <c r="F135" s="8" t="s">
        <v>143</v>
      </c>
      <c r="G135" s="8" t="n">
        <v>1600</v>
      </c>
      <c r="H135" s="8" t="n">
        <v>1280</v>
      </c>
    </row>
    <row r="136" customFormat="false" ht="14.25" hidden="false" customHeight="false" outlineLevel="0" collapsed="false">
      <c r="A136" s="48"/>
      <c r="B136" s="45" t="n">
        <v>26</v>
      </c>
      <c r="C136" s="12" t="s">
        <v>167</v>
      </c>
      <c r="D136" s="52" t="n">
        <v>1</v>
      </c>
      <c r="E136" s="8" t="s">
        <v>143</v>
      </c>
      <c r="F136" s="8" t="s">
        <v>143</v>
      </c>
      <c r="G136" s="8" t="n">
        <v>1600</v>
      </c>
      <c r="H136" s="8" t="n">
        <v>1280</v>
      </c>
    </row>
    <row r="137" customFormat="false" ht="14.25" hidden="false" customHeight="false" outlineLevel="0" collapsed="false">
      <c r="A137" s="48"/>
      <c r="B137" s="45" t="n">
        <v>27</v>
      </c>
      <c r="C137" s="12" t="s">
        <v>168</v>
      </c>
      <c r="D137" s="52" t="n">
        <v>1</v>
      </c>
      <c r="E137" s="8" t="s">
        <v>143</v>
      </c>
      <c r="F137" s="8" t="s">
        <v>143</v>
      </c>
      <c r="G137" s="8" t="n">
        <v>1100</v>
      </c>
      <c r="H137" s="8" t="n">
        <v>880</v>
      </c>
    </row>
    <row r="138" customFormat="false" ht="14.25" hidden="false" customHeight="false" outlineLevel="0" collapsed="false">
      <c r="A138" s="48"/>
      <c r="B138" s="45" t="n">
        <v>28</v>
      </c>
      <c r="C138" s="12" t="s">
        <v>169</v>
      </c>
      <c r="D138" s="52" t="n">
        <v>1</v>
      </c>
      <c r="E138" s="8" t="s">
        <v>143</v>
      </c>
      <c r="F138" s="8" t="s">
        <v>143</v>
      </c>
      <c r="G138" s="8" t="n">
        <v>1600</v>
      </c>
      <c r="H138" s="8" t="n">
        <v>1280</v>
      </c>
    </row>
    <row r="139" customFormat="false" ht="14.25" hidden="false" customHeight="false" outlineLevel="0" collapsed="false">
      <c r="A139" s="48"/>
      <c r="B139" s="45" t="n">
        <v>29</v>
      </c>
      <c r="C139" s="12" t="s">
        <v>170</v>
      </c>
      <c r="D139" s="52" t="n">
        <v>1</v>
      </c>
      <c r="E139" s="8" t="s">
        <v>143</v>
      </c>
      <c r="F139" s="8" t="s">
        <v>143</v>
      </c>
      <c r="G139" s="8" t="n">
        <v>1600</v>
      </c>
      <c r="H139" s="8" t="n">
        <v>1280</v>
      </c>
    </row>
    <row r="140" customFormat="false" ht="15.75" hidden="false" customHeight="true" outlineLevel="0" collapsed="false">
      <c r="A140" s="48"/>
      <c r="B140" s="45" t="n">
        <v>30</v>
      </c>
      <c r="C140" s="12" t="s">
        <v>171</v>
      </c>
      <c r="D140" s="52" t="n">
        <v>1</v>
      </c>
      <c r="E140" s="8" t="s">
        <v>143</v>
      </c>
      <c r="F140" s="8" t="s">
        <v>143</v>
      </c>
      <c r="G140" s="8" t="n">
        <v>1600</v>
      </c>
      <c r="H140" s="8" t="n">
        <v>1280</v>
      </c>
    </row>
    <row r="141" customFormat="false" ht="15.75" hidden="false" customHeight="true" outlineLevel="0" collapsed="false">
      <c r="A141" s="53"/>
      <c r="B141" s="45"/>
      <c r="C141" s="20"/>
      <c r="D141" s="8"/>
      <c r="E141" s="8"/>
      <c r="F141" s="8"/>
      <c r="G141" s="12"/>
    </row>
    <row r="142" customFormat="false" ht="45.75" hidden="false" customHeight="true" outlineLevel="0" collapsed="false">
      <c r="A142" s="54"/>
      <c r="B142" s="21" t="s">
        <v>0</v>
      </c>
      <c r="C142" s="21" t="s">
        <v>1</v>
      </c>
      <c r="D142" s="22" t="s">
        <v>98</v>
      </c>
      <c r="E142" s="21" t="s">
        <v>3</v>
      </c>
      <c r="F142" s="21" t="s">
        <v>4</v>
      </c>
      <c r="G142" s="21" t="s">
        <v>13</v>
      </c>
      <c r="H142" s="22" t="s">
        <v>12</v>
      </c>
    </row>
    <row r="143" customFormat="false" ht="15" hidden="false" customHeight="true" outlineLevel="0" collapsed="false">
      <c r="A143" s="48" t="s">
        <v>363</v>
      </c>
      <c r="B143" s="8" t="n">
        <v>1</v>
      </c>
      <c r="C143" s="9" t="s">
        <v>142</v>
      </c>
      <c r="D143" s="8" t="n">
        <v>1</v>
      </c>
      <c r="E143" s="8" t="s">
        <v>175</v>
      </c>
      <c r="F143" s="8" t="s">
        <v>175</v>
      </c>
      <c r="G143" s="8" t="n">
        <v>1180</v>
      </c>
      <c r="H143" s="8" t="n">
        <v>1475</v>
      </c>
    </row>
    <row r="144" customFormat="false" ht="14.25" hidden="false" customHeight="false" outlineLevel="0" collapsed="false">
      <c r="A144" s="48"/>
      <c r="B144" s="8" t="n">
        <v>2</v>
      </c>
      <c r="C144" s="9" t="s">
        <v>144</v>
      </c>
      <c r="D144" s="8" t="n">
        <v>1</v>
      </c>
      <c r="E144" s="8" t="s">
        <v>175</v>
      </c>
      <c r="F144" s="8" t="s">
        <v>175</v>
      </c>
      <c r="G144" s="8" t="n">
        <v>1180</v>
      </c>
      <c r="H144" s="8" t="n">
        <v>1475</v>
      </c>
    </row>
    <row r="145" customFormat="false" ht="14.25" hidden="false" customHeight="false" outlineLevel="0" collapsed="false">
      <c r="A145" s="48"/>
      <c r="B145" s="8" t="n">
        <v>3</v>
      </c>
      <c r="C145" s="9" t="s">
        <v>117</v>
      </c>
      <c r="D145" s="8" t="n">
        <v>1</v>
      </c>
      <c r="E145" s="8" t="s">
        <v>175</v>
      </c>
      <c r="F145" s="8" t="s">
        <v>175</v>
      </c>
      <c r="G145" s="8" t="n">
        <v>980</v>
      </c>
      <c r="H145" s="8" t="n">
        <v>1225</v>
      </c>
    </row>
    <row r="146" customFormat="false" ht="14.25" hidden="false" customHeight="false" outlineLevel="0" collapsed="false">
      <c r="A146" s="48"/>
      <c r="B146" s="8" t="n">
        <v>4</v>
      </c>
      <c r="C146" s="9" t="s">
        <v>145</v>
      </c>
      <c r="D146" s="8" t="n">
        <v>1</v>
      </c>
      <c r="E146" s="8" t="s">
        <v>175</v>
      </c>
      <c r="F146" s="8" t="s">
        <v>175</v>
      </c>
      <c r="G146" s="8" t="n">
        <v>980</v>
      </c>
      <c r="H146" s="8" t="n">
        <v>1225</v>
      </c>
    </row>
    <row r="147" customFormat="false" ht="14.25" hidden="false" customHeight="false" outlineLevel="0" collapsed="false">
      <c r="A147" s="48"/>
      <c r="B147" s="8" t="n">
        <v>5</v>
      </c>
      <c r="C147" s="9" t="s">
        <v>146</v>
      </c>
      <c r="D147" s="8" t="n">
        <v>1</v>
      </c>
      <c r="E147" s="8" t="s">
        <v>175</v>
      </c>
      <c r="F147" s="8" t="s">
        <v>175</v>
      </c>
      <c r="G147" s="8" t="n">
        <v>980</v>
      </c>
      <c r="H147" s="8" t="n">
        <v>1225</v>
      </c>
    </row>
    <row r="148" customFormat="false" ht="14.25" hidden="false" customHeight="false" outlineLevel="0" collapsed="false">
      <c r="A148" s="48"/>
      <c r="B148" s="8" t="n">
        <v>6</v>
      </c>
      <c r="C148" s="9" t="s">
        <v>147</v>
      </c>
      <c r="D148" s="8" t="n">
        <v>1</v>
      </c>
      <c r="E148" s="8" t="s">
        <v>175</v>
      </c>
      <c r="F148" s="8" t="s">
        <v>175</v>
      </c>
      <c r="G148" s="8" t="n">
        <v>980</v>
      </c>
      <c r="H148" s="8" t="n">
        <v>1225</v>
      </c>
    </row>
    <row r="149" customFormat="false" ht="14.25" hidden="false" customHeight="false" outlineLevel="0" collapsed="false">
      <c r="A149" s="48"/>
      <c r="B149" s="8" t="n">
        <v>7</v>
      </c>
      <c r="C149" s="9" t="s">
        <v>148</v>
      </c>
      <c r="D149" s="8" t="n">
        <v>1</v>
      </c>
      <c r="E149" s="8" t="s">
        <v>175</v>
      </c>
      <c r="F149" s="8" t="s">
        <v>175</v>
      </c>
      <c r="G149" s="8" t="n">
        <v>980</v>
      </c>
      <c r="H149" s="8" t="n">
        <v>1225</v>
      </c>
    </row>
    <row r="150" customFormat="false" ht="14.25" hidden="false" customHeight="false" outlineLevel="0" collapsed="false">
      <c r="A150" s="48"/>
      <c r="B150" s="8" t="n">
        <v>8</v>
      </c>
      <c r="C150" s="9" t="s">
        <v>149</v>
      </c>
      <c r="D150" s="8" t="n">
        <v>1</v>
      </c>
      <c r="E150" s="8" t="s">
        <v>175</v>
      </c>
      <c r="F150" s="8" t="s">
        <v>175</v>
      </c>
      <c r="G150" s="8" t="n">
        <v>1180</v>
      </c>
      <c r="H150" s="8" t="n">
        <v>1475</v>
      </c>
    </row>
    <row r="151" customFormat="false" ht="14.25" hidden="false" customHeight="false" outlineLevel="0" collapsed="false">
      <c r="A151" s="48"/>
      <c r="B151" s="8" t="n">
        <v>9</v>
      </c>
      <c r="C151" s="9" t="s">
        <v>150</v>
      </c>
      <c r="D151" s="8" t="n">
        <v>1</v>
      </c>
      <c r="E151" s="8" t="s">
        <v>175</v>
      </c>
      <c r="F151" s="8" t="s">
        <v>175</v>
      </c>
      <c r="G151" s="8" t="n">
        <v>1310</v>
      </c>
      <c r="H151" s="8" t="n">
        <v>1640</v>
      </c>
    </row>
    <row r="152" customFormat="false" ht="14.25" hidden="false" customHeight="false" outlineLevel="0" collapsed="false">
      <c r="A152" s="48"/>
      <c r="B152" s="8" t="n">
        <v>10</v>
      </c>
      <c r="C152" s="9" t="s">
        <v>151</v>
      </c>
      <c r="D152" s="8" t="n">
        <v>1</v>
      </c>
      <c r="E152" s="8" t="s">
        <v>175</v>
      </c>
      <c r="F152" s="8" t="s">
        <v>175</v>
      </c>
      <c r="G152" s="8" t="n">
        <v>1180</v>
      </c>
      <c r="H152" s="8" t="n">
        <v>1475</v>
      </c>
    </row>
    <row r="153" customFormat="false" ht="14.25" hidden="false" customHeight="false" outlineLevel="0" collapsed="false">
      <c r="A153" s="48"/>
      <c r="B153" s="8" t="n">
        <v>11</v>
      </c>
      <c r="C153" s="9" t="s">
        <v>152</v>
      </c>
      <c r="D153" s="8" t="n">
        <v>1</v>
      </c>
      <c r="E153" s="8" t="s">
        <v>175</v>
      </c>
      <c r="F153" s="8" t="s">
        <v>175</v>
      </c>
      <c r="G153" s="8" t="n">
        <v>1310</v>
      </c>
      <c r="H153" s="8" t="n">
        <v>1640</v>
      </c>
    </row>
    <row r="154" customFormat="false" ht="14.25" hidden="false" customHeight="false" outlineLevel="0" collapsed="false">
      <c r="A154" s="48"/>
      <c r="B154" s="8" t="n">
        <v>12</v>
      </c>
      <c r="C154" s="9" t="s">
        <v>153</v>
      </c>
      <c r="D154" s="8" t="n">
        <v>1</v>
      </c>
      <c r="E154" s="8" t="s">
        <v>175</v>
      </c>
      <c r="F154" s="8" t="s">
        <v>175</v>
      </c>
      <c r="G154" s="8" t="n">
        <v>1180</v>
      </c>
      <c r="H154" s="8" t="n">
        <v>1475</v>
      </c>
    </row>
    <row r="155" customFormat="false" ht="14.25" hidden="false" customHeight="false" outlineLevel="0" collapsed="false">
      <c r="A155" s="48"/>
      <c r="B155" s="8" t="n">
        <v>13</v>
      </c>
      <c r="C155" s="9" t="s">
        <v>154</v>
      </c>
      <c r="D155" s="8" t="n">
        <v>1</v>
      </c>
      <c r="E155" s="8" t="s">
        <v>175</v>
      </c>
      <c r="F155" s="8" t="s">
        <v>175</v>
      </c>
      <c r="G155" s="8" t="n">
        <v>980</v>
      </c>
      <c r="H155" s="8" t="n">
        <v>1225</v>
      </c>
    </row>
    <row r="156" customFormat="false" ht="14.25" hidden="false" customHeight="false" outlineLevel="0" collapsed="false">
      <c r="A156" s="48"/>
      <c r="B156" s="8" t="n">
        <v>14</v>
      </c>
      <c r="C156" s="9" t="s">
        <v>155</v>
      </c>
      <c r="D156" s="8" t="n">
        <v>1</v>
      </c>
      <c r="E156" s="8" t="s">
        <v>175</v>
      </c>
      <c r="F156" s="8" t="s">
        <v>175</v>
      </c>
      <c r="G156" s="8" t="n">
        <v>1180</v>
      </c>
      <c r="H156" s="8" t="n">
        <v>1475</v>
      </c>
    </row>
    <row r="157" customFormat="false" ht="14.25" hidden="false" customHeight="false" outlineLevel="0" collapsed="false">
      <c r="A157" s="48"/>
      <c r="B157" s="8" t="n">
        <v>15</v>
      </c>
      <c r="C157" s="9" t="s">
        <v>156</v>
      </c>
      <c r="D157" s="8" t="n">
        <v>1</v>
      </c>
      <c r="E157" s="8" t="s">
        <v>175</v>
      </c>
      <c r="F157" s="8" t="s">
        <v>175</v>
      </c>
      <c r="G157" s="8" t="n">
        <v>2180</v>
      </c>
      <c r="H157" s="8" t="n">
        <v>2725</v>
      </c>
    </row>
    <row r="158" customFormat="false" ht="14.25" hidden="false" customHeight="false" outlineLevel="0" collapsed="false">
      <c r="A158" s="48"/>
      <c r="B158" s="8" t="n">
        <v>16</v>
      </c>
      <c r="C158" s="9" t="s">
        <v>157</v>
      </c>
      <c r="D158" s="8" t="n">
        <v>1</v>
      </c>
      <c r="E158" s="8" t="s">
        <v>175</v>
      </c>
      <c r="F158" s="8" t="s">
        <v>175</v>
      </c>
      <c r="G158" s="8" t="n">
        <v>1510</v>
      </c>
      <c r="H158" s="8" t="n">
        <v>1890</v>
      </c>
    </row>
    <row r="159" customFormat="false" ht="14.25" hidden="false" customHeight="false" outlineLevel="0" collapsed="false">
      <c r="A159" s="48"/>
      <c r="B159" s="8" t="n">
        <v>17</v>
      </c>
      <c r="C159" s="9" t="s">
        <v>158</v>
      </c>
      <c r="D159" s="8" t="n">
        <v>1</v>
      </c>
      <c r="E159" s="8" t="s">
        <v>175</v>
      </c>
      <c r="F159" s="8" t="s">
        <v>175</v>
      </c>
      <c r="G159" s="8" t="n">
        <v>980</v>
      </c>
      <c r="H159" s="8" t="n">
        <v>1225</v>
      </c>
    </row>
    <row r="160" customFormat="false" ht="14.25" hidden="false" customHeight="false" outlineLevel="0" collapsed="false">
      <c r="A160" s="48"/>
      <c r="B160" s="8" t="n">
        <v>18</v>
      </c>
      <c r="C160" s="9" t="s">
        <v>159</v>
      </c>
      <c r="D160" s="8" t="n">
        <v>1</v>
      </c>
      <c r="E160" s="8" t="s">
        <v>175</v>
      </c>
      <c r="F160" s="8" t="s">
        <v>175</v>
      </c>
      <c r="G160" s="8" t="n">
        <v>1180</v>
      </c>
      <c r="H160" s="8" t="n">
        <v>1475</v>
      </c>
    </row>
    <row r="161" customFormat="false" ht="14.25" hidden="false" customHeight="false" outlineLevel="0" collapsed="false">
      <c r="A161" s="48"/>
      <c r="B161" s="8" t="n">
        <v>19</v>
      </c>
      <c r="C161" s="9" t="s">
        <v>160</v>
      </c>
      <c r="D161" s="8" t="n">
        <v>1</v>
      </c>
      <c r="E161" s="8" t="s">
        <v>175</v>
      </c>
      <c r="F161" s="8" t="s">
        <v>175</v>
      </c>
      <c r="G161" s="8" t="n">
        <v>2180</v>
      </c>
      <c r="H161" s="8" t="n">
        <v>2725</v>
      </c>
    </row>
    <row r="162" customFormat="false" ht="14.25" hidden="false" customHeight="false" outlineLevel="0" collapsed="false">
      <c r="A162" s="48"/>
      <c r="B162" s="8" t="n">
        <v>20</v>
      </c>
      <c r="C162" s="9" t="s">
        <v>161</v>
      </c>
      <c r="D162" s="8" t="n">
        <v>1</v>
      </c>
      <c r="E162" s="8" t="s">
        <v>175</v>
      </c>
      <c r="F162" s="8" t="s">
        <v>175</v>
      </c>
      <c r="G162" s="8" t="n">
        <v>1180</v>
      </c>
      <c r="H162" s="8" t="n">
        <v>1475</v>
      </c>
    </row>
    <row r="163" customFormat="false" ht="14.25" hidden="false" customHeight="false" outlineLevel="0" collapsed="false">
      <c r="A163" s="48"/>
      <c r="B163" s="8" t="n">
        <v>21</v>
      </c>
      <c r="C163" s="9" t="s">
        <v>162</v>
      </c>
      <c r="D163" s="8" t="n">
        <v>1</v>
      </c>
      <c r="E163" s="8" t="s">
        <v>175</v>
      </c>
      <c r="F163" s="8" t="s">
        <v>175</v>
      </c>
      <c r="G163" s="8" t="n">
        <v>1510</v>
      </c>
      <c r="H163" s="8" t="n">
        <v>1890</v>
      </c>
    </row>
    <row r="164" customFormat="false" ht="14.25" hidden="false" customHeight="false" outlineLevel="0" collapsed="false">
      <c r="A164" s="48"/>
      <c r="B164" s="8" t="n">
        <v>22</v>
      </c>
      <c r="C164" s="9" t="s">
        <v>163</v>
      </c>
      <c r="D164" s="8" t="n">
        <v>1</v>
      </c>
      <c r="E164" s="8" t="s">
        <v>175</v>
      </c>
      <c r="F164" s="8" t="s">
        <v>175</v>
      </c>
      <c r="G164" s="8" t="n">
        <v>1180</v>
      </c>
      <c r="H164" s="8" t="n">
        <v>1475</v>
      </c>
    </row>
    <row r="165" customFormat="false" ht="14.25" hidden="false" customHeight="false" outlineLevel="0" collapsed="false">
      <c r="A165" s="48"/>
      <c r="B165" s="8" t="n">
        <v>23</v>
      </c>
      <c r="C165" s="9" t="s">
        <v>164</v>
      </c>
      <c r="D165" s="8" t="n">
        <v>1</v>
      </c>
      <c r="E165" s="8" t="s">
        <v>175</v>
      </c>
      <c r="F165" s="8" t="s">
        <v>175</v>
      </c>
      <c r="G165" s="8" t="n">
        <v>1510</v>
      </c>
      <c r="H165" s="8" t="n">
        <v>1890</v>
      </c>
    </row>
    <row r="166" customFormat="false" ht="14.25" hidden="false" customHeight="false" outlineLevel="0" collapsed="false">
      <c r="A166" s="48"/>
      <c r="B166" s="8" t="n">
        <v>24</v>
      </c>
      <c r="C166" s="9" t="s">
        <v>165</v>
      </c>
      <c r="D166" s="8" t="n">
        <v>1</v>
      </c>
      <c r="E166" s="8" t="s">
        <v>175</v>
      </c>
      <c r="F166" s="8" t="s">
        <v>175</v>
      </c>
      <c r="G166" s="8" t="n">
        <v>2180</v>
      </c>
      <c r="H166" s="8" t="n">
        <v>2725</v>
      </c>
    </row>
    <row r="167" customFormat="false" ht="14.25" hidden="false" customHeight="false" outlineLevel="0" collapsed="false">
      <c r="A167" s="48"/>
      <c r="B167" s="8" t="n">
        <v>25</v>
      </c>
      <c r="C167" s="9" t="s">
        <v>166</v>
      </c>
      <c r="D167" s="8" t="n">
        <v>1</v>
      </c>
      <c r="E167" s="8" t="s">
        <v>175</v>
      </c>
      <c r="F167" s="8" t="s">
        <v>175</v>
      </c>
      <c r="G167" s="8" t="n">
        <v>2180</v>
      </c>
      <c r="H167" s="8" t="n">
        <v>2725</v>
      </c>
    </row>
    <row r="168" customFormat="false" ht="14.25" hidden="false" customHeight="false" outlineLevel="0" collapsed="false">
      <c r="A168" s="48"/>
      <c r="B168" s="8" t="n">
        <v>26</v>
      </c>
      <c r="C168" s="9" t="s">
        <v>167</v>
      </c>
      <c r="D168" s="8" t="n">
        <v>1</v>
      </c>
      <c r="E168" s="8" t="s">
        <v>175</v>
      </c>
      <c r="F168" s="8" t="s">
        <v>175</v>
      </c>
      <c r="G168" s="8" t="n">
        <v>2180</v>
      </c>
      <c r="H168" s="8" t="n">
        <v>2725</v>
      </c>
    </row>
    <row r="169" customFormat="false" ht="14.25" hidden="false" customHeight="false" outlineLevel="0" collapsed="false">
      <c r="A169" s="48"/>
      <c r="B169" s="8" t="n">
        <v>27</v>
      </c>
      <c r="C169" s="9" t="s">
        <v>168</v>
      </c>
      <c r="D169" s="8" t="n">
        <v>1</v>
      </c>
      <c r="E169" s="8" t="s">
        <v>175</v>
      </c>
      <c r="F169" s="8" t="s">
        <v>175</v>
      </c>
      <c r="G169" s="8" t="n">
        <v>1510</v>
      </c>
      <c r="H169" s="8" t="n">
        <v>1890</v>
      </c>
    </row>
    <row r="170" customFormat="false" ht="14.25" hidden="false" customHeight="false" outlineLevel="0" collapsed="false">
      <c r="A170" s="48"/>
      <c r="B170" s="8" t="n">
        <v>28</v>
      </c>
      <c r="C170" s="9" t="s">
        <v>169</v>
      </c>
      <c r="D170" s="8" t="n">
        <v>1</v>
      </c>
      <c r="E170" s="8" t="s">
        <v>175</v>
      </c>
      <c r="F170" s="8" t="s">
        <v>175</v>
      </c>
      <c r="G170" s="8" t="n">
        <v>2180</v>
      </c>
      <c r="H170" s="8" t="n">
        <v>2725</v>
      </c>
    </row>
    <row r="171" customFormat="false" ht="14.25" hidden="false" customHeight="false" outlineLevel="0" collapsed="false">
      <c r="A171" s="48"/>
      <c r="B171" s="8" t="n">
        <v>29</v>
      </c>
      <c r="C171" s="9" t="s">
        <v>170</v>
      </c>
      <c r="D171" s="8" t="n">
        <v>1</v>
      </c>
      <c r="E171" s="8" t="s">
        <v>175</v>
      </c>
      <c r="F171" s="8" t="s">
        <v>175</v>
      </c>
      <c r="G171" s="8" t="n">
        <v>2180</v>
      </c>
      <c r="H171" s="8" t="n">
        <v>2725</v>
      </c>
    </row>
    <row r="172" customFormat="false" ht="15" hidden="false" customHeight="true" outlineLevel="0" collapsed="false">
      <c r="A172" s="48"/>
      <c r="B172" s="8" t="n">
        <v>30</v>
      </c>
      <c r="C172" s="9" t="s">
        <v>171</v>
      </c>
      <c r="D172" s="8" t="n">
        <v>1</v>
      </c>
      <c r="E172" s="8" t="s">
        <v>175</v>
      </c>
      <c r="F172" s="8" t="s">
        <v>175</v>
      </c>
      <c r="G172" s="8" t="n">
        <v>2180</v>
      </c>
      <c r="H172" s="8" t="n">
        <v>2725</v>
      </c>
    </row>
    <row r="173" customFormat="false" ht="15" hidden="false" customHeight="true" outlineLevel="0" collapsed="false">
      <c r="A173" s="55"/>
      <c r="B173" s="50"/>
      <c r="C173" s="51"/>
      <c r="D173" s="52"/>
      <c r="E173" s="52"/>
      <c r="F173" s="52"/>
      <c r="G173" s="56"/>
    </row>
    <row r="174" customFormat="false" ht="30.55" hidden="false" customHeight="false" outlineLevel="0" collapsed="false">
      <c r="B174" s="21" t="s">
        <v>0</v>
      </c>
      <c r="C174" s="21" t="s">
        <v>1</v>
      </c>
      <c r="D174" s="22" t="s">
        <v>98</v>
      </c>
      <c r="E174" s="21" t="s">
        <v>3</v>
      </c>
      <c r="F174" s="21" t="s">
        <v>4</v>
      </c>
      <c r="G174" s="21" t="s">
        <v>13</v>
      </c>
      <c r="H174" s="22" t="s">
        <v>12</v>
      </c>
    </row>
    <row r="175" customFormat="false" ht="15" hidden="false" customHeight="true" outlineLevel="0" collapsed="false">
      <c r="A175" s="48" t="s">
        <v>364</v>
      </c>
      <c r="B175" s="45" t="n">
        <v>1</v>
      </c>
      <c r="C175" s="12" t="s">
        <v>315</v>
      </c>
      <c r="D175" s="8"/>
      <c r="E175" s="8" t="s">
        <v>177</v>
      </c>
      <c r="F175" s="8" t="s">
        <v>178</v>
      </c>
      <c r="G175" s="12"/>
      <c r="H175" s="12"/>
    </row>
    <row r="176" customFormat="false" ht="15" hidden="false" customHeight="true" outlineLevel="0" collapsed="false">
      <c r="A176" s="48"/>
      <c r="B176" s="45" t="n">
        <v>2</v>
      </c>
      <c r="C176" s="12" t="s">
        <v>179</v>
      </c>
      <c r="D176" s="8"/>
      <c r="E176" s="8" t="s">
        <v>177</v>
      </c>
      <c r="F176" s="8" t="s">
        <v>178</v>
      </c>
      <c r="G176" s="12"/>
      <c r="H176" s="12"/>
    </row>
    <row r="177" customFormat="false" ht="15" hidden="false" customHeight="true" outlineLevel="0" collapsed="false">
      <c r="A177" s="48"/>
      <c r="B177" s="45" t="n">
        <v>3</v>
      </c>
      <c r="C177" s="12" t="s">
        <v>180</v>
      </c>
      <c r="D177" s="8"/>
      <c r="E177" s="8" t="s">
        <v>177</v>
      </c>
      <c r="F177" s="8" t="s">
        <v>178</v>
      </c>
      <c r="G177" s="12"/>
      <c r="H177" s="12"/>
    </row>
    <row r="178" customFormat="false" ht="15" hidden="false" customHeight="true" outlineLevel="0" collapsed="false">
      <c r="A178" s="48"/>
      <c r="B178" s="45" t="n">
        <v>4</v>
      </c>
      <c r="C178" s="12" t="s">
        <v>181</v>
      </c>
      <c r="D178" s="8"/>
      <c r="E178" s="8" t="s">
        <v>177</v>
      </c>
      <c r="F178" s="8" t="s">
        <v>178</v>
      </c>
      <c r="G178" s="12"/>
      <c r="H178" s="12"/>
    </row>
    <row r="179" customFormat="false" ht="15" hidden="false" customHeight="true" outlineLevel="0" collapsed="false">
      <c r="A179" s="48"/>
      <c r="B179" s="45" t="n">
        <v>5</v>
      </c>
      <c r="C179" s="12" t="s">
        <v>182</v>
      </c>
      <c r="D179" s="8"/>
      <c r="E179" s="8" t="s">
        <v>177</v>
      </c>
      <c r="F179" s="8" t="s">
        <v>178</v>
      </c>
      <c r="G179" s="12"/>
      <c r="H179" s="12"/>
    </row>
    <row r="180" customFormat="false" ht="15" hidden="false" customHeight="true" outlineLevel="0" collapsed="false">
      <c r="A180" s="48"/>
      <c r="B180" s="45" t="n">
        <v>6</v>
      </c>
      <c r="C180" s="12" t="s">
        <v>183</v>
      </c>
      <c r="D180" s="8"/>
      <c r="E180" s="8" t="s">
        <v>177</v>
      </c>
      <c r="F180" s="8" t="s">
        <v>178</v>
      </c>
      <c r="G180" s="12"/>
      <c r="H180" s="12"/>
    </row>
    <row r="181" customFormat="false" ht="15" hidden="false" customHeight="true" outlineLevel="0" collapsed="false">
      <c r="A181" s="48"/>
      <c r="B181" s="45" t="n">
        <v>7</v>
      </c>
      <c r="C181" s="12" t="s">
        <v>316</v>
      </c>
      <c r="D181" s="8"/>
      <c r="E181" s="8" t="s">
        <v>177</v>
      </c>
      <c r="F181" s="8" t="s">
        <v>178</v>
      </c>
      <c r="G181" s="12"/>
      <c r="H181" s="12"/>
    </row>
    <row r="182" customFormat="false" ht="15" hidden="false" customHeight="true" outlineLevel="0" collapsed="false">
      <c r="A182" s="48"/>
      <c r="B182" s="45" t="n">
        <v>8</v>
      </c>
      <c r="C182" s="12" t="s">
        <v>185</v>
      </c>
      <c r="D182" s="8"/>
      <c r="E182" s="8" t="s">
        <v>186</v>
      </c>
      <c r="F182" s="8" t="s">
        <v>186</v>
      </c>
      <c r="G182" s="12"/>
      <c r="H182" s="12"/>
    </row>
    <row r="183" customFormat="false" ht="15" hidden="false" customHeight="true" outlineLevel="0" collapsed="false">
      <c r="A183" s="48"/>
      <c r="B183" s="45" t="n">
        <v>9</v>
      </c>
      <c r="C183" s="12" t="s">
        <v>187</v>
      </c>
      <c r="D183" s="8"/>
      <c r="E183" s="8" t="s">
        <v>186</v>
      </c>
      <c r="F183" s="8" t="s">
        <v>186</v>
      </c>
      <c r="G183" s="12"/>
      <c r="H183" s="12"/>
    </row>
    <row r="184" customFormat="false" ht="15" hidden="false" customHeight="true" outlineLevel="0" collapsed="false">
      <c r="A184" s="48"/>
      <c r="B184" s="45" t="n">
        <v>10</v>
      </c>
      <c r="C184" s="12" t="s">
        <v>188</v>
      </c>
      <c r="D184" s="8"/>
      <c r="E184" s="8" t="s">
        <v>186</v>
      </c>
      <c r="F184" s="8" t="s">
        <v>186</v>
      </c>
      <c r="G184" s="12"/>
      <c r="H184" s="12"/>
    </row>
    <row r="185" customFormat="false" ht="15" hidden="false" customHeight="true" outlineLevel="0" collapsed="false">
      <c r="A185" s="48"/>
      <c r="B185" s="45" t="n">
        <v>11</v>
      </c>
      <c r="C185" s="12" t="s">
        <v>189</v>
      </c>
      <c r="D185" s="8"/>
      <c r="E185" s="8" t="s">
        <v>186</v>
      </c>
      <c r="F185" s="8" t="s">
        <v>186</v>
      </c>
      <c r="G185" s="12"/>
      <c r="H185" s="12"/>
    </row>
    <row r="186" customFormat="false" ht="15" hidden="false" customHeight="true" outlineLevel="0" collapsed="false">
      <c r="A186" s="48"/>
      <c r="B186" s="45" t="n">
        <v>12</v>
      </c>
      <c r="C186" s="12" t="s">
        <v>190</v>
      </c>
      <c r="D186" s="8"/>
      <c r="E186" s="8" t="s">
        <v>186</v>
      </c>
      <c r="F186" s="8" t="s">
        <v>186</v>
      </c>
      <c r="G186" s="12"/>
      <c r="H186" s="12"/>
    </row>
    <row r="187" customFormat="false" ht="15" hidden="false" customHeight="true" outlineLevel="0" collapsed="false">
      <c r="A187" s="48"/>
      <c r="B187" s="45" t="n">
        <v>13</v>
      </c>
      <c r="C187" s="12" t="s">
        <v>191</v>
      </c>
      <c r="D187" s="8"/>
      <c r="E187" s="8" t="s">
        <v>186</v>
      </c>
      <c r="F187" s="8" t="s">
        <v>186</v>
      </c>
      <c r="G187" s="12"/>
      <c r="H187" s="12"/>
    </row>
    <row r="188" customFormat="false" ht="15" hidden="false" customHeight="true" outlineLevel="0" collapsed="false">
      <c r="A188" s="48"/>
      <c r="B188" s="45" t="n">
        <v>14</v>
      </c>
      <c r="C188" s="12" t="s">
        <v>192</v>
      </c>
      <c r="D188" s="8"/>
      <c r="E188" s="8" t="s">
        <v>186</v>
      </c>
      <c r="F188" s="8" t="s">
        <v>186</v>
      </c>
      <c r="G188" s="12"/>
      <c r="H188" s="12"/>
    </row>
    <row r="189" customFormat="false" ht="15" hidden="false" customHeight="true" outlineLevel="0" collapsed="false">
      <c r="A189" s="48"/>
      <c r="B189" s="45" t="n">
        <v>15</v>
      </c>
      <c r="C189" s="12" t="s">
        <v>193</v>
      </c>
      <c r="D189" s="8"/>
      <c r="E189" s="8" t="s">
        <v>194</v>
      </c>
      <c r="F189" s="8" t="s">
        <v>194</v>
      </c>
      <c r="G189" s="12"/>
      <c r="H189" s="12"/>
    </row>
    <row r="190" customFormat="false" ht="15" hidden="false" customHeight="true" outlineLevel="0" collapsed="false">
      <c r="A190" s="48"/>
      <c r="B190" s="45" t="n">
        <v>16</v>
      </c>
      <c r="C190" s="12" t="s">
        <v>195</v>
      </c>
      <c r="D190" s="8"/>
      <c r="E190" s="8" t="s">
        <v>194</v>
      </c>
      <c r="F190" s="8" t="s">
        <v>194</v>
      </c>
      <c r="G190" s="12"/>
      <c r="H190" s="12"/>
    </row>
    <row r="191" customFormat="false" ht="15" hidden="false" customHeight="true" outlineLevel="0" collapsed="false">
      <c r="A191" s="48"/>
      <c r="B191" s="45" t="n">
        <v>17</v>
      </c>
      <c r="C191" s="12" t="s">
        <v>196</v>
      </c>
      <c r="D191" s="8"/>
      <c r="E191" s="8" t="s">
        <v>194</v>
      </c>
      <c r="F191" s="8" t="s">
        <v>194</v>
      </c>
      <c r="G191" s="12"/>
      <c r="H191" s="12"/>
    </row>
    <row r="192" customFormat="false" ht="15" hidden="false" customHeight="true" outlineLevel="0" collapsed="false">
      <c r="A192" s="48"/>
      <c r="B192" s="45" t="n">
        <v>18</v>
      </c>
      <c r="C192" s="12" t="s">
        <v>197</v>
      </c>
      <c r="D192" s="8"/>
      <c r="E192" s="8" t="s">
        <v>194</v>
      </c>
      <c r="F192" s="8" t="s">
        <v>194</v>
      </c>
      <c r="G192" s="12"/>
      <c r="H192" s="12"/>
    </row>
    <row r="193" customFormat="false" ht="15" hidden="false" customHeight="true" outlineLevel="0" collapsed="false">
      <c r="A193" s="48"/>
      <c r="B193" s="45" t="n">
        <v>19</v>
      </c>
      <c r="C193" s="12" t="s">
        <v>198</v>
      </c>
      <c r="D193" s="8"/>
      <c r="E193" s="8" t="s">
        <v>194</v>
      </c>
      <c r="F193" s="8" t="s">
        <v>194</v>
      </c>
      <c r="G193" s="12"/>
      <c r="H193" s="12"/>
    </row>
    <row r="194" customFormat="false" ht="15" hidden="false" customHeight="true" outlineLevel="0" collapsed="false">
      <c r="A194" s="48"/>
      <c r="B194" s="45" t="n">
        <v>20</v>
      </c>
      <c r="C194" s="12" t="s">
        <v>199</v>
      </c>
      <c r="D194" s="8"/>
      <c r="E194" s="8" t="s">
        <v>194</v>
      </c>
      <c r="F194" s="8" t="s">
        <v>194</v>
      </c>
      <c r="G194" s="12"/>
      <c r="H194" s="12"/>
    </row>
    <row r="195" customFormat="false" ht="15" hidden="false" customHeight="true" outlineLevel="0" collapsed="false">
      <c r="A195" s="48"/>
      <c r="B195" s="45" t="n">
        <v>21</v>
      </c>
      <c r="C195" s="12" t="s">
        <v>200</v>
      </c>
      <c r="D195" s="8"/>
      <c r="E195" s="8" t="s">
        <v>194</v>
      </c>
      <c r="F195" s="8" t="s">
        <v>194</v>
      </c>
      <c r="G195" s="12"/>
      <c r="H195" s="12"/>
    </row>
    <row r="196" customFormat="false" ht="15" hidden="false" customHeight="true" outlineLevel="0" collapsed="false">
      <c r="A196" s="48"/>
      <c r="B196" s="45" t="n">
        <v>22</v>
      </c>
      <c r="C196" s="12" t="s">
        <v>201</v>
      </c>
      <c r="D196" s="8"/>
      <c r="E196" s="8" t="s">
        <v>194</v>
      </c>
      <c r="F196" s="8" t="s">
        <v>194</v>
      </c>
      <c r="G196" s="12"/>
      <c r="H196" s="12"/>
    </row>
    <row r="197" customFormat="false" ht="15" hidden="false" customHeight="true" outlineLevel="0" collapsed="false">
      <c r="A197" s="48"/>
      <c r="B197" s="8" t="n">
        <v>23</v>
      </c>
      <c r="C197" s="12" t="s">
        <v>202</v>
      </c>
      <c r="D197" s="8"/>
      <c r="E197" s="8" t="s">
        <v>194</v>
      </c>
      <c r="F197" s="8" t="s">
        <v>194</v>
      </c>
      <c r="G197" s="12"/>
      <c r="H197" s="12"/>
    </row>
    <row r="198" customFormat="false" ht="15.75" hidden="false" customHeight="true" outlineLevel="0" collapsed="false">
      <c r="A198" s="48"/>
      <c r="B198" s="8" t="n">
        <v>24</v>
      </c>
      <c r="C198" s="12" t="s">
        <v>203</v>
      </c>
      <c r="D198" s="8"/>
      <c r="E198" s="8" t="s">
        <v>194</v>
      </c>
      <c r="F198" s="8" t="s">
        <v>194</v>
      </c>
      <c r="G198" s="12"/>
      <c r="H198" s="12"/>
    </row>
    <row r="199" customFormat="false" ht="13.5" hidden="false" customHeight="true" outlineLevel="0" collapsed="false">
      <c r="A199" s="57"/>
      <c r="B199" s="2"/>
    </row>
    <row r="200" customFormat="false" ht="30.55" hidden="false" customHeight="false" outlineLevel="0" collapsed="false">
      <c r="A200" s="12"/>
      <c r="B200" s="21" t="s">
        <v>0</v>
      </c>
      <c r="C200" s="21" t="s">
        <v>1</v>
      </c>
      <c r="D200" s="22" t="s">
        <v>98</v>
      </c>
      <c r="E200" s="21" t="s">
        <v>3</v>
      </c>
      <c r="F200" s="21" t="s">
        <v>4</v>
      </c>
      <c r="G200" s="21" t="s">
        <v>13</v>
      </c>
      <c r="H200" s="22" t="s">
        <v>12</v>
      </c>
    </row>
    <row r="201" customFormat="false" ht="14.25" hidden="false" customHeight="true" outlineLevel="0" collapsed="false">
      <c r="A201" s="58" t="s">
        <v>365</v>
      </c>
      <c r="B201" s="8" t="n">
        <v>1</v>
      </c>
      <c r="C201" s="9" t="s">
        <v>204</v>
      </c>
      <c r="D201" s="8"/>
      <c r="E201" s="8" t="s">
        <v>205</v>
      </c>
      <c r="F201" s="8" t="s">
        <v>205</v>
      </c>
      <c r="G201" s="8" t="n">
        <v>230</v>
      </c>
      <c r="H201" s="8" t="n">
        <v>184</v>
      </c>
    </row>
    <row r="202" customFormat="false" ht="14.25" hidden="false" customHeight="false" outlineLevel="0" collapsed="false">
      <c r="A202" s="58"/>
      <c r="B202" s="8" t="n">
        <v>2</v>
      </c>
      <c r="C202" s="9" t="s">
        <v>206</v>
      </c>
      <c r="D202" s="8"/>
      <c r="E202" s="8" t="s">
        <v>205</v>
      </c>
      <c r="F202" s="8" t="s">
        <v>205</v>
      </c>
      <c r="G202" s="8" t="n">
        <v>70</v>
      </c>
      <c r="H202" s="8" t="n">
        <v>56</v>
      </c>
    </row>
    <row r="203" customFormat="false" ht="14.25" hidden="false" customHeight="false" outlineLevel="0" collapsed="false">
      <c r="A203" s="58"/>
      <c r="B203" s="8" t="n">
        <v>3</v>
      </c>
      <c r="C203" s="9" t="s">
        <v>207</v>
      </c>
      <c r="D203" s="10"/>
      <c r="E203" s="8" t="s">
        <v>205</v>
      </c>
      <c r="F203" s="8" t="s">
        <v>205</v>
      </c>
      <c r="G203" s="8" t="n">
        <v>230</v>
      </c>
      <c r="H203" s="8" t="n">
        <v>184</v>
      </c>
    </row>
    <row r="204" customFormat="false" ht="14.25" hidden="false" customHeight="false" outlineLevel="0" collapsed="false">
      <c r="A204" s="58"/>
      <c r="B204" s="8" t="n">
        <v>4</v>
      </c>
      <c r="C204" s="9" t="s">
        <v>208</v>
      </c>
      <c r="D204" s="10"/>
      <c r="E204" s="8" t="s">
        <v>205</v>
      </c>
      <c r="F204" s="8" t="s">
        <v>205</v>
      </c>
      <c r="G204" s="8" t="n">
        <v>70</v>
      </c>
      <c r="H204" s="8" t="n">
        <v>56</v>
      </c>
    </row>
    <row r="205" customFormat="false" ht="14.25" hidden="false" customHeight="false" outlineLevel="0" collapsed="false">
      <c r="B205" s="2"/>
    </row>
    <row r="206" customFormat="false" ht="14.25" hidden="false" customHeight="true" outlineLevel="0" collapsed="false">
      <c r="A206" s="59" t="s">
        <v>366</v>
      </c>
      <c r="B206" s="8" t="n">
        <v>1</v>
      </c>
      <c r="C206" s="8" t="s">
        <v>209</v>
      </c>
      <c r="D206" s="8" t="n">
        <v>100</v>
      </c>
      <c r="E206" s="8" t="s">
        <v>210</v>
      </c>
      <c r="F206" s="8" t="s">
        <v>210</v>
      </c>
      <c r="G206" s="8" t="n">
        <v>150</v>
      </c>
      <c r="H206" s="8" t="n">
        <v>120</v>
      </c>
    </row>
    <row r="207" customFormat="false" ht="14.25" hidden="false" customHeight="false" outlineLevel="0" collapsed="false">
      <c r="A207" s="59"/>
      <c r="B207" s="8" t="n">
        <v>2</v>
      </c>
      <c r="C207" s="10" t="s">
        <v>211</v>
      </c>
      <c r="D207" s="8" t="n">
        <v>100</v>
      </c>
      <c r="E207" s="8" t="s">
        <v>210</v>
      </c>
      <c r="F207" s="8" t="s">
        <v>210</v>
      </c>
      <c r="G207" s="8" t="n">
        <v>150</v>
      </c>
      <c r="H207" s="8" t="n">
        <v>120</v>
      </c>
    </row>
    <row r="208" customFormat="false" ht="14.25" hidden="false" customHeight="false" outlineLevel="0" collapsed="false">
      <c r="A208" s="59"/>
      <c r="B208" s="8" t="n">
        <v>3</v>
      </c>
      <c r="C208" s="10" t="s">
        <v>212</v>
      </c>
      <c r="D208" s="8" t="n">
        <v>100</v>
      </c>
      <c r="E208" s="8" t="s">
        <v>210</v>
      </c>
      <c r="F208" s="8" t="s">
        <v>210</v>
      </c>
      <c r="G208" s="8" t="n">
        <v>150</v>
      </c>
      <c r="H208" s="8" t="n">
        <v>120</v>
      </c>
    </row>
    <row r="209" customFormat="false" ht="14.25" hidden="false" customHeight="false" outlineLevel="0" collapsed="false">
      <c r="A209" s="59"/>
      <c r="B209" s="8" t="n">
        <v>4</v>
      </c>
      <c r="C209" s="10" t="s">
        <v>213</v>
      </c>
      <c r="D209" s="8" t="n">
        <v>100</v>
      </c>
      <c r="E209" s="8" t="s">
        <v>210</v>
      </c>
      <c r="F209" s="8" t="s">
        <v>210</v>
      </c>
      <c r="G209" s="8" t="n">
        <v>150</v>
      </c>
      <c r="H209" s="8" t="n">
        <v>120</v>
      </c>
    </row>
    <row r="210" customFormat="false" ht="14.25" hidden="false" customHeight="false" outlineLevel="0" collapsed="false">
      <c r="A210" s="59"/>
      <c r="B210" s="8" t="n">
        <v>5</v>
      </c>
      <c r="C210" s="10" t="s">
        <v>214</v>
      </c>
      <c r="D210" s="8" t="n">
        <v>100</v>
      </c>
      <c r="E210" s="8" t="s">
        <v>210</v>
      </c>
      <c r="F210" s="8" t="s">
        <v>210</v>
      </c>
      <c r="G210" s="8" t="n">
        <v>150</v>
      </c>
      <c r="H210" s="8" t="n">
        <v>120</v>
      </c>
    </row>
    <row r="211" customFormat="false" ht="15" hidden="false" customHeight="true" outlineLevel="0" collapsed="false">
      <c r="A211" s="60"/>
      <c r="B211" s="2"/>
      <c r="C211" s="61"/>
      <c r="G211" s="2"/>
      <c r="H211" s="2"/>
    </row>
    <row r="212" customFormat="false" ht="14.25" hidden="false" customHeight="true" outlineLevel="0" collapsed="false">
      <c r="A212" s="62" t="s">
        <v>218</v>
      </c>
      <c r="B212" s="45" t="n">
        <v>1</v>
      </c>
      <c r="C212" s="12" t="s">
        <v>215</v>
      </c>
      <c r="D212" s="8" t="s">
        <v>216</v>
      </c>
      <c r="E212" s="8" t="s">
        <v>217</v>
      </c>
      <c r="F212" s="8" t="s">
        <v>218</v>
      </c>
      <c r="G212" s="8" t="n">
        <v>300</v>
      </c>
      <c r="H212" s="8" t="n">
        <v>240</v>
      </c>
    </row>
    <row r="213" customFormat="false" ht="14.25" hidden="false" customHeight="false" outlineLevel="0" collapsed="false">
      <c r="A213" s="62"/>
      <c r="B213" s="45" t="n">
        <v>2</v>
      </c>
      <c r="C213" s="12" t="s">
        <v>219</v>
      </c>
      <c r="D213" s="8" t="s">
        <v>216</v>
      </c>
      <c r="E213" s="8" t="s">
        <v>218</v>
      </c>
      <c r="F213" s="8" t="s">
        <v>218</v>
      </c>
      <c r="G213" s="8" t="n">
        <v>300</v>
      </c>
      <c r="H213" s="8" t="n">
        <v>240</v>
      </c>
    </row>
    <row r="214" customFormat="false" ht="14.25" hidden="false" customHeight="false" outlineLevel="0" collapsed="false">
      <c r="A214" s="62"/>
      <c r="B214" s="45" t="n">
        <v>3</v>
      </c>
      <c r="C214" s="12" t="s">
        <v>148</v>
      </c>
      <c r="D214" s="8" t="s">
        <v>216</v>
      </c>
      <c r="E214" s="8" t="s">
        <v>218</v>
      </c>
      <c r="F214" s="8" t="s">
        <v>218</v>
      </c>
      <c r="G214" s="8" t="n">
        <v>300</v>
      </c>
      <c r="H214" s="8" t="n">
        <v>240</v>
      </c>
    </row>
    <row r="215" customFormat="false" ht="14.25" hidden="false" customHeight="false" outlineLevel="0" collapsed="false">
      <c r="A215" s="62"/>
      <c r="B215" s="45" t="n">
        <v>4</v>
      </c>
      <c r="C215" s="12" t="s">
        <v>220</v>
      </c>
      <c r="D215" s="8" t="s">
        <v>216</v>
      </c>
      <c r="E215" s="8" t="s">
        <v>218</v>
      </c>
      <c r="F215" s="8" t="s">
        <v>218</v>
      </c>
      <c r="G215" s="8" t="n">
        <v>300</v>
      </c>
      <c r="H215" s="8" t="n">
        <v>240</v>
      </c>
    </row>
    <row r="216" customFormat="false" ht="14.25" hidden="false" customHeight="false" outlineLevel="0" collapsed="false">
      <c r="A216" s="62"/>
      <c r="B216" s="45" t="n">
        <v>5</v>
      </c>
      <c r="C216" s="12" t="s">
        <v>119</v>
      </c>
      <c r="D216" s="8" t="s">
        <v>216</v>
      </c>
      <c r="E216" s="8" t="s">
        <v>218</v>
      </c>
      <c r="F216" s="8" t="s">
        <v>218</v>
      </c>
      <c r="G216" s="8" t="n">
        <v>300</v>
      </c>
      <c r="H216" s="8" t="n">
        <v>240</v>
      </c>
    </row>
    <row r="217" customFormat="false" ht="14.25" hidden="false" customHeight="false" outlineLevel="0" collapsed="false">
      <c r="A217" s="62"/>
      <c r="B217" s="45" t="n">
        <v>6</v>
      </c>
      <c r="C217" s="12" t="s">
        <v>221</v>
      </c>
      <c r="D217" s="8" t="s">
        <v>216</v>
      </c>
      <c r="E217" s="8" t="s">
        <v>218</v>
      </c>
      <c r="F217" s="8" t="s">
        <v>218</v>
      </c>
      <c r="G217" s="8" t="n">
        <v>300</v>
      </c>
      <c r="H217" s="8" t="n">
        <v>240</v>
      </c>
    </row>
    <row r="218" customFormat="false" ht="14.25" hidden="false" customHeight="false" outlineLevel="0" collapsed="false">
      <c r="A218" s="62"/>
      <c r="B218" s="45" t="n">
        <v>7</v>
      </c>
      <c r="C218" s="12" t="s">
        <v>222</v>
      </c>
      <c r="D218" s="8" t="s">
        <v>216</v>
      </c>
      <c r="E218" s="8" t="s">
        <v>218</v>
      </c>
      <c r="F218" s="8" t="s">
        <v>218</v>
      </c>
      <c r="G218" s="8" t="n">
        <v>300</v>
      </c>
      <c r="H218" s="8" t="n">
        <v>240</v>
      </c>
    </row>
    <row r="219" customFormat="false" ht="14.25" hidden="false" customHeight="false" outlineLevel="0" collapsed="false">
      <c r="A219" s="62"/>
      <c r="B219" s="45" t="n">
        <v>8</v>
      </c>
      <c r="C219" s="12" t="s">
        <v>223</v>
      </c>
      <c r="D219" s="8" t="s">
        <v>216</v>
      </c>
      <c r="E219" s="8" t="s">
        <v>218</v>
      </c>
      <c r="F219" s="8" t="s">
        <v>218</v>
      </c>
      <c r="G219" s="8" t="n">
        <v>300</v>
      </c>
      <c r="H219" s="8" t="n">
        <v>240</v>
      </c>
    </row>
    <row r="220" customFormat="false" ht="14.25" hidden="false" customHeight="false" outlineLevel="0" collapsed="false">
      <c r="A220" s="62"/>
      <c r="B220" s="45" t="n">
        <v>9</v>
      </c>
      <c r="C220" s="12" t="s">
        <v>149</v>
      </c>
      <c r="D220" s="8" t="s">
        <v>216</v>
      </c>
      <c r="E220" s="8" t="s">
        <v>218</v>
      </c>
      <c r="F220" s="8" t="s">
        <v>218</v>
      </c>
      <c r="G220" s="8" t="n">
        <v>300</v>
      </c>
      <c r="H220" s="8" t="n">
        <v>240</v>
      </c>
    </row>
    <row r="221" customFormat="false" ht="14.25" hidden="false" customHeight="false" outlineLevel="0" collapsed="false">
      <c r="A221" s="62"/>
      <c r="B221" s="45" t="n">
        <v>10</v>
      </c>
      <c r="C221" s="12" t="s">
        <v>122</v>
      </c>
      <c r="D221" s="8" t="s">
        <v>216</v>
      </c>
      <c r="E221" s="8" t="s">
        <v>218</v>
      </c>
      <c r="F221" s="8" t="s">
        <v>218</v>
      </c>
      <c r="G221" s="8" t="n">
        <v>300</v>
      </c>
      <c r="H221" s="8" t="n">
        <v>240</v>
      </c>
    </row>
    <row r="222" customFormat="false" ht="15" hidden="false" customHeight="true" outlineLevel="0" collapsed="false">
      <c r="A222" s="63"/>
      <c r="B222" s="45"/>
      <c r="C222" s="12"/>
      <c r="D222" s="8"/>
      <c r="E222" s="8"/>
      <c r="F222" s="8"/>
      <c r="G222" s="2"/>
      <c r="H222" s="2"/>
    </row>
    <row r="223" customFormat="false" ht="14.25" hidden="false" customHeight="true" outlineLevel="0" collapsed="false">
      <c r="A223" s="64" t="s">
        <v>226</v>
      </c>
      <c r="B223" s="45" t="n">
        <v>1</v>
      </c>
      <c r="C223" s="12" t="s">
        <v>224</v>
      </c>
      <c r="D223" s="8" t="s">
        <v>225</v>
      </c>
      <c r="E223" s="8" t="s">
        <v>226</v>
      </c>
      <c r="F223" s="8" t="s">
        <v>226</v>
      </c>
      <c r="G223" s="8" t="n">
        <v>70</v>
      </c>
      <c r="H223" s="8" t="n">
        <v>56</v>
      </c>
    </row>
    <row r="224" customFormat="false" ht="14.25" hidden="false" customHeight="false" outlineLevel="0" collapsed="false">
      <c r="A224" s="64"/>
      <c r="B224" s="45" t="n">
        <v>2</v>
      </c>
      <c r="C224" s="12" t="s">
        <v>227</v>
      </c>
      <c r="D224" s="8" t="s">
        <v>228</v>
      </c>
      <c r="E224" s="8" t="s">
        <v>226</v>
      </c>
      <c r="F224" s="8" t="s">
        <v>226</v>
      </c>
      <c r="G224" s="8" t="n">
        <v>230</v>
      </c>
      <c r="H224" s="8" t="n">
        <v>184</v>
      </c>
    </row>
    <row r="225" customFormat="false" ht="14.25" hidden="false" customHeight="false" outlineLevel="0" collapsed="false">
      <c r="B225" s="65"/>
      <c r="C225" s="66"/>
      <c r="D225" s="65"/>
      <c r="E225" s="65"/>
      <c r="F225" s="65"/>
      <c r="G225" s="67"/>
    </row>
    <row r="226" customFormat="false" ht="15" hidden="false" customHeight="false" outlineLevel="0" collapsed="false">
      <c r="A226" s="68" t="s">
        <v>229</v>
      </c>
      <c r="B226" s="8" t="n">
        <v>1</v>
      </c>
      <c r="C226" s="12" t="s">
        <v>229</v>
      </c>
      <c r="D226" s="8"/>
      <c r="E226" s="8" t="s">
        <v>229</v>
      </c>
      <c r="F226" s="8" t="s">
        <v>229</v>
      </c>
      <c r="G226" s="8" t="n">
        <v>1249</v>
      </c>
      <c r="H226" s="8" t="n">
        <v>999</v>
      </c>
    </row>
    <row r="227" customFormat="false" ht="16.5" hidden="false" customHeight="true" outlineLevel="0" collapsed="false">
      <c r="B227" s="69"/>
      <c r="C227" s="69"/>
      <c r="D227" s="70"/>
      <c r="E227" s="69"/>
      <c r="F227" s="69"/>
      <c r="G227" s="69"/>
    </row>
    <row r="228" customFormat="false" ht="15" hidden="false" customHeight="true" outlineLevel="0" collapsed="false">
      <c r="A228" s="71" t="s">
        <v>231</v>
      </c>
      <c r="B228" s="8" t="n">
        <v>1</v>
      </c>
      <c r="C228" s="12" t="s">
        <v>230</v>
      </c>
      <c r="D228" s="8" t="s">
        <v>216</v>
      </c>
      <c r="E228" s="8" t="s">
        <v>231</v>
      </c>
      <c r="F228" s="8" t="s">
        <v>231</v>
      </c>
      <c r="G228" s="8" t="n">
        <v>390</v>
      </c>
      <c r="H228" s="8" t="n">
        <v>310</v>
      </c>
    </row>
    <row r="229" customFormat="false" ht="15" hidden="false" customHeight="true" outlineLevel="0" collapsed="false">
      <c r="A229" s="71"/>
      <c r="B229" s="8" t="n">
        <v>2</v>
      </c>
      <c r="C229" s="12" t="s">
        <v>232</v>
      </c>
      <c r="D229" s="8" t="s">
        <v>216</v>
      </c>
      <c r="E229" s="8" t="s">
        <v>231</v>
      </c>
      <c r="F229" s="8" t="s">
        <v>231</v>
      </c>
      <c r="G229" s="8" t="n">
        <v>390</v>
      </c>
      <c r="H229" s="8" t="n">
        <v>310</v>
      </c>
    </row>
    <row r="230" customFormat="false" ht="15" hidden="false" customHeight="true" outlineLevel="0" collapsed="false">
      <c r="A230" s="71"/>
      <c r="B230" s="8" t="n">
        <v>3</v>
      </c>
      <c r="C230" s="12" t="s">
        <v>233</v>
      </c>
      <c r="D230" s="8" t="s">
        <v>216</v>
      </c>
      <c r="E230" s="8" t="s">
        <v>231</v>
      </c>
      <c r="F230" s="8" t="s">
        <v>231</v>
      </c>
      <c r="G230" s="8" t="n">
        <v>390</v>
      </c>
      <c r="H230" s="8" t="n">
        <v>310</v>
      </c>
    </row>
    <row r="231" customFormat="false" ht="15" hidden="false" customHeight="true" outlineLevel="0" collapsed="false">
      <c r="A231" s="71"/>
      <c r="B231" s="8" t="n">
        <v>4</v>
      </c>
      <c r="C231" s="12" t="s">
        <v>234</v>
      </c>
      <c r="D231" s="8" t="s">
        <v>216</v>
      </c>
      <c r="E231" s="8" t="s">
        <v>231</v>
      </c>
      <c r="F231" s="8" t="s">
        <v>231</v>
      </c>
      <c r="G231" s="8" t="n">
        <v>390</v>
      </c>
      <c r="H231" s="8" t="n">
        <v>310</v>
      </c>
    </row>
    <row r="232" customFormat="false" ht="15" hidden="false" customHeight="true" outlineLevel="0" collapsed="false">
      <c r="A232" s="71"/>
      <c r="B232" s="8" t="n">
        <v>5</v>
      </c>
      <c r="C232" s="12" t="s">
        <v>235</v>
      </c>
      <c r="D232" s="8" t="s">
        <v>216</v>
      </c>
      <c r="E232" s="8" t="s">
        <v>231</v>
      </c>
      <c r="F232" s="8" t="s">
        <v>231</v>
      </c>
      <c r="G232" s="8" t="n">
        <v>390</v>
      </c>
      <c r="H232" s="8" t="n">
        <v>310</v>
      </c>
    </row>
    <row r="233" customFormat="false" ht="15" hidden="false" customHeight="true" outlineLevel="0" collapsed="false">
      <c r="A233" s="71"/>
      <c r="B233" s="8" t="n">
        <v>6</v>
      </c>
      <c r="C233" s="12" t="s">
        <v>236</v>
      </c>
      <c r="D233" s="8" t="s">
        <v>216</v>
      </c>
      <c r="E233" s="8" t="s">
        <v>231</v>
      </c>
      <c r="F233" s="8" t="s">
        <v>231</v>
      </c>
      <c r="G233" s="8" t="n">
        <v>390</v>
      </c>
      <c r="H233" s="8" t="n">
        <v>310</v>
      </c>
    </row>
    <row r="234" customFormat="false" ht="14.25" hidden="false" customHeight="false" outlineLevel="0" collapsed="false">
      <c r="A234" s="71"/>
      <c r="B234" s="8" t="n">
        <v>7</v>
      </c>
      <c r="C234" s="12" t="s">
        <v>237</v>
      </c>
      <c r="D234" s="8" t="s">
        <v>216</v>
      </c>
      <c r="E234" s="8" t="s">
        <v>231</v>
      </c>
      <c r="F234" s="8" t="s">
        <v>231</v>
      </c>
      <c r="G234" s="8" t="n">
        <v>390</v>
      </c>
      <c r="H234" s="8" t="n">
        <v>310</v>
      </c>
    </row>
    <row r="235" customFormat="false" ht="14.25" hidden="false" customHeight="false" outlineLevel="0" collapsed="false">
      <c r="A235" s="71"/>
      <c r="B235" s="65" t="n">
        <v>8</v>
      </c>
      <c r="C235" s="66" t="s">
        <v>238</v>
      </c>
      <c r="D235" s="65" t="s">
        <v>216</v>
      </c>
      <c r="E235" s="65" t="s">
        <v>231</v>
      </c>
      <c r="F235" s="65" t="s">
        <v>231</v>
      </c>
      <c r="G235" s="65" t="n">
        <v>390</v>
      </c>
      <c r="H235" s="65" t="n">
        <v>310</v>
      </c>
    </row>
    <row r="236" customFormat="false" ht="14.25" hidden="false" customHeight="false" outlineLevel="0" collapsed="false">
      <c r="A236" s="71"/>
      <c r="B236" s="8" t="n">
        <v>9</v>
      </c>
      <c r="C236" s="12" t="s">
        <v>239</v>
      </c>
      <c r="D236" s="8" t="s">
        <v>216</v>
      </c>
      <c r="E236" s="8" t="s">
        <v>231</v>
      </c>
      <c r="F236" s="8" t="s">
        <v>231</v>
      </c>
      <c r="G236" s="8" t="n">
        <v>390</v>
      </c>
      <c r="H236" s="8" t="n">
        <v>310</v>
      </c>
    </row>
    <row r="237" customFormat="false" ht="14.25" hidden="false" customHeight="false" outlineLevel="0" collapsed="false">
      <c r="A237" s="71"/>
      <c r="B237" s="8" t="n">
        <v>10</v>
      </c>
      <c r="C237" s="12" t="s">
        <v>240</v>
      </c>
      <c r="D237" s="8" t="s">
        <v>216</v>
      </c>
      <c r="E237" s="8" t="s">
        <v>231</v>
      </c>
      <c r="F237" s="8" t="s">
        <v>231</v>
      </c>
      <c r="G237" s="8" t="n">
        <v>390</v>
      </c>
      <c r="H237" s="8" t="n">
        <v>310</v>
      </c>
    </row>
    <row r="238" customFormat="false" ht="14.25" hidden="false" customHeight="false" outlineLevel="0" collapsed="false">
      <c r="B238" s="2"/>
    </row>
    <row r="239" customFormat="false" ht="14.25" hidden="false" customHeight="false" outlineLevel="0" collapsed="false">
      <c r="A239" s="72" t="s">
        <v>241</v>
      </c>
      <c r="B239" s="8" t="n">
        <v>1</v>
      </c>
      <c r="C239" s="12" t="s">
        <v>241</v>
      </c>
      <c r="D239" s="8"/>
      <c r="E239" s="8" t="s">
        <v>241</v>
      </c>
      <c r="F239" s="8" t="s">
        <v>241</v>
      </c>
      <c r="G239" s="8" t="n">
        <v>600</v>
      </c>
      <c r="H239" s="8" t="n">
        <v>480</v>
      </c>
    </row>
    <row r="240" customFormat="false" ht="14.25" hidden="false" customHeight="false" outlineLevel="0" collapsed="false">
      <c r="A240" s="72" t="s">
        <v>242</v>
      </c>
      <c r="B240" s="8" t="n">
        <v>2</v>
      </c>
      <c r="C240" s="12" t="s">
        <v>242</v>
      </c>
      <c r="D240" s="8"/>
      <c r="E240" s="8" t="s">
        <v>242</v>
      </c>
      <c r="F240" s="8" t="s">
        <v>242</v>
      </c>
      <c r="G240" s="12"/>
      <c r="H240" s="12"/>
    </row>
    <row r="241" customFormat="false" ht="14.25" hidden="false" customHeight="false" outlineLevel="0" collapsed="false">
      <c r="B241" s="2"/>
    </row>
    <row r="242" customFormat="false" ht="14.25" hidden="false" customHeight="true" outlineLevel="0" collapsed="false">
      <c r="A242" s="59" t="s">
        <v>367</v>
      </c>
      <c r="B242" s="8" t="n">
        <v>1</v>
      </c>
      <c r="C242" s="12" t="s">
        <v>243</v>
      </c>
      <c r="D242" s="8"/>
      <c r="E242" s="8" t="s">
        <v>244</v>
      </c>
      <c r="F242" s="8" t="s">
        <v>244</v>
      </c>
      <c r="G242" s="8" t="n">
        <v>300</v>
      </c>
      <c r="H242" s="8" t="n">
        <v>240</v>
      </c>
    </row>
    <row r="243" customFormat="false" ht="14.25" hidden="false" customHeight="false" outlineLevel="0" collapsed="false">
      <c r="A243" s="59"/>
      <c r="B243" s="8" t="n">
        <v>2</v>
      </c>
      <c r="C243" s="12" t="s">
        <v>245</v>
      </c>
      <c r="D243" s="8"/>
      <c r="E243" s="8" t="s">
        <v>244</v>
      </c>
      <c r="F243" s="8" t="s">
        <v>244</v>
      </c>
      <c r="G243" s="8" t="n">
        <v>300</v>
      </c>
      <c r="H243" s="8" t="n">
        <v>240</v>
      </c>
    </row>
    <row r="244" customFormat="false" ht="14.25" hidden="false" customHeight="false" outlineLevel="0" collapsed="false">
      <c r="A244" s="59"/>
      <c r="B244" s="8" t="n">
        <v>3</v>
      </c>
      <c r="C244" s="12" t="s">
        <v>246</v>
      </c>
      <c r="D244" s="8"/>
      <c r="E244" s="8" t="s">
        <v>244</v>
      </c>
      <c r="F244" s="8" t="s">
        <v>244</v>
      </c>
      <c r="G244" s="8" t="n">
        <v>300</v>
      </c>
      <c r="H244" s="8" t="n">
        <v>240</v>
      </c>
    </row>
    <row r="245" customFormat="false" ht="14.25" hidden="false" customHeight="false" outlineLevel="0" collapsed="false">
      <c r="A245" s="59"/>
      <c r="B245" s="8" t="n">
        <v>4</v>
      </c>
      <c r="C245" s="12" t="s">
        <v>247</v>
      </c>
      <c r="D245" s="8"/>
      <c r="E245" s="8" t="s">
        <v>244</v>
      </c>
      <c r="F245" s="8" t="s">
        <v>244</v>
      </c>
      <c r="G245" s="8" t="n">
        <v>300</v>
      </c>
      <c r="H245" s="8" t="n">
        <v>240</v>
      </c>
    </row>
    <row r="246" customFormat="false" ht="14.25" hidden="false" customHeight="false" outlineLevel="0" collapsed="false">
      <c r="A246" s="59"/>
      <c r="B246" s="8" t="n">
        <v>5</v>
      </c>
      <c r="C246" s="12" t="s">
        <v>248</v>
      </c>
      <c r="D246" s="8"/>
      <c r="E246" s="8" t="s">
        <v>244</v>
      </c>
      <c r="F246" s="8" t="s">
        <v>244</v>
      </c>
      <c r="G246" s="8" t="n">
        <v>300</v>
      </c>
      <c r="H246" s="8" t="n">
        <v>240</v>
      </c>
    </row>
    <row r="247" customFormat="false" ht="14.25" hidden="false" customHeight="false" outlineLevel="0" collapsed="false">
      <c r="A247" s="59"/>
      <c r="B247" s="8" t="n">
        <v>6</v>
      </c>
      <c r="C247" s="12" t="s">
        <v>249</v>
      </c>
      <c r="D247" s="8"/>
      <c r="E247" s="8" t="s">
        <v>244</v>
      </c>
      <c r="F247" s="8" t="s">
        <v>244</v>
      </c>
      <c r="G247" s="8" t="n">
        <v>300</v>
      </c>
      <c r="H247" s="8" t="n">
        <v>240</v>
      </c>
    </row>
    <row r="248" customFormat="false" ht="14.25" hidden="false" customHeight="false" outlineLevel="0" collapsed="false">
      <c r="A248" s="59"/>
      <c r="B248" s="8" t="n">
        <v>7</v>
      </c>
      <c r="C248" s="12" t="s">
        <v>250</v>
      </c>
      <c r="D248" s="8"/>
      <c r="E248" s="8" t="s">
        <v>244</v>
      </c>
      <c r="F248" s="8" t="s">
        <v>244</v>
      </c>
      <c r="G248" s="8" t="n">
        <v>300</v>
      </c>
      <c r="H248" s="8" t="n">
        <v>240</v>
      </c>
    </row>
    <row r="249" customFormat="false" ht="14.25" hidden="false" customHeight="false" outlineLevel="0" collapsed="false">
      <c r="A249" s="59"/>
      <c r="B249" s="8" t="n">
        <v>8</v>
      </c>
      <c r="C249" s="12" t="s">
        <v>251</v>
      </c>
      <c r="D249" s="8"/>
      <c r="E249" s="8" t="s">
        <v>244</v>
      </c>
      <c r="F249" s="8" t="s">
        <v>244</v>
      </c>
      <c r="G249" s="8" t="n">
        <v>300</v>
      </c>
      <c r="H249" s="8" t="n">
        <v>240</v>
      </c>
    </row>
    <row r="250" customFormat="false" ht="14.25" hidden="false" customHeight="false" outlineLevel="0" collapsed="false">
      <c r="A250" s="59"/>
      <c r="B250" s="8" t="n">
        <v>9</v>
      </c>
      <c r="C250" s="12" t="s">
        <v>252</v>
      </c>
      <c r="D250" s="8"/>
      <c r="E250" s="8" t="s">
        <v>244</v>
      </c>
      <c r="F250" s="8" t="s">
        <v>244</v>
      </c>
      <c r="G250" s="8" t="n">
        <v>300</v>
      </c>
      <c r="H250" s="8" t="n">
        <v>240</v>
      </c>
    </row>
    <row r="251" customFormat="false" ht="14.25" hidden="false" customHeight="false" outlineLevel="0" collapsed="false">
      <c r="A251" s="59"/>
      <c r="B251" s="8" t="n">
        <v>10</v>
      </c>
      <c r="C251" s="12" t="s">
        <v>253</v>
      </c>
      <c r="D251" s="8"/>
      <c r="E251" s="8" t="s">
        <v>244</v>
      </c>
      <c r="F251" s="8" t="s">
        <v>244</v>
      </c>
      <c r="G251" s="8" t="n">
        <v>300</v>
      </c>
      <c r="H251" s="8" t="n">
        <v>240</v>
      </c>
    </row>
    <row r="253" customFormat="false" ht="14.25" hidden="false" customHeight="true" outlineLevel="0" collapsed="false">
      <c r="A253" s="73" t="s">
        <v>368</v>
      </c>
      <c r="B253" s="45" t="n">
        <v>1</v>
      </c>
      <c r="C253" s="74" t="s">
        <v>254</v>
      </c>
      <c r="D253" s="8"/>
      <c r="E253" s="8" t="s">
        <v>255</v>
      </c>
      <c r="F253" s="8" t="s">
        <v>255</v>
      </c>
      <c r="G253" s="8" t="n">
        <v>200</v>
      </c>
      <c r="H253" s="8" t="n">
        <v>160</v>
      </c>
    </row>
    <row r="254" customFormat="false" ht="14.25" hidden="false" customHeight="false" outlineLevel="0" collapsed="false">
      <c r="A254" s="73"/>
      <c r="B254" s="45" t="n">
        <v>2</v>
      </c>
      <c r="C254" s="74" t="s">
        <v>256</v>
      </c>
      <c r="D254" s="8"/>
      <c r="E254" s="8" t="s">
        <v>255</v>
      </c>
      <c r="F254" s="8" t="s">
        <v>255</v>
      </c>
      <c r="G254" s="8" t="n">
        <v>200</v>
      </c>
      <c r="H254" s="8" t="n">
        <v>160</v>
      </c>
    </row>
    <row r="255" customFormat="false" ht="14.25" hidden="false" customHeight="false" outlineLevel="0" collapsed="false">
      <c r="A255" s="73"/>
      <c r="B255" s="45" t="n">
        <v>3</v>
      </c>
      <c r="C255" s="74" t="s">
        <v>257</v>
      </c>
      <c r="D255" s="8"/>
      <c r="E255" s="8" t="s">
        <v>255</v>
      </c>
      <c r="F255" s="8" t="s">
        <v>255</v>
      </c>
      <c r="G255" s="8" t="n">
        <v>200</v>
      </c>
      <c r="H255" s="8" t="n">
        <v>160</v>
      </c>
    </row>
    <row r="256" customFormat="false" ht="14.25" hidden="false" customHeight="false" outlineLevel="0" collapsed="false">
      <c r="A256" s="73"/>
      <c r="B256" s="45" t="n">
        <v>4</v>
      </c>
      <c r="C256" s="74" t="s">
        <v>258</v>
      </c>
      <c r="D256" s="8"/>
      <c r="E256" s="8" t="s">
        <v>255</v>
      </c>
      <c r="F256" s="8" t="s">
        <v>255</v>
      </c>
      <c r="G256" s="8" t="n">
        <v>200</v>
      </c>
      <c r="H256" s="8" t="n">
        <v>160</v>
      </c>
    </row>
    <row r="258" customFormat="false" ht="14.25" hidden="false" customHeight="true" outlineLevel="0" collapsed="false">
      <c r="A258" s="64" t="s">
        <v>260</v>
      </c>
      <c r="B258" s="45" t="n">
        <v>1</v>
      </c>
      <c r="C258" s="12" t="s">
        <v>259</v>
      </c>
      <c r="D258" s="8" t="n">
        <v>100</v>
      </c>
      <c r="E258" s="8" t="s">
        <v>260</v>
      </c>
      <c r="F258" s="8" t="s">
        <v>260</v>
      </c>
      <c r="G258" s="8" t="n">
        <v>360</v>
      </c>
      <c r="H258" s="8" t="n">
        <v>288</v>
      </c>
    </row>
    <row r="259" customFormat="false" ht="14.25" hidden="false" customHeight="false" outlineLevel="0" collapsed="false">
      <c r="A259" s="64"/>
      <c r="B259" s="45" t="n">
        <v>2</v>
      </c>
      <c r="C259" s="12" t="s">
        <v>261</v>
      </c>
      <c r="D259" s="8" t="n">
        <v>100</v>
      </c>
      <c r="E259" s="8" t="s">
        <v>260</v>
      </c>
      <c r="F259" s="8" t="s">
        <v>260</v>
      </c>
      <c r="G259" s="8" t="n">
        <v>360</v>
      </c>
      <c r="H259" s="8" t="n">
        <v>288</v>
      </c>
    </row>
    <row r="260" customFormat="false" ht="14.25" hidden="false" customHeight="false" outlineLevel="0" collapsed="false">
      <c r="A260" s="64"/>
      <c r="B260" s="45" t="n">
        <v>3</v>
      </c>
      <c r="C260" s="12" t="s">
        <v>262</v>
      </c>
      <c r="D260" s="8" t="n">
        <v>100</v>
      </c>
      <c r="E260" s="8" t="s">
        <v>260</v>
      </c>
      <c r="F260" s="8" t="s">
        <v>260</v>
      </c>
      <c r="G260" s="8" t="n">
        <v>460</v>
      </c>
      <c r="H260" s="8" t="n">
        <v>368</v>
      </c>
    </row>
    <row r="261" customFormat="false" ht="14.25" hidden="false" customHeight="false" outlineLevel="0" collapsed="false">
      <c r="A261" s="64"/>
      <c r="B261" s="45" t="n">
        <v>4</v>
      </c>
      <c r="C261" s="12" t="s">
        <v>112</v>
      </c>
      <c r="D261" s="8" t="n">
        <v>100</v>
      </c>
      <c r="E261" s="8" t="s">
        <v>260</v>
      </c>
      <c r="F261" s="8" t="s">
        <v>260</v>
      </c>
      <c r="G261" s="8" t="n">
        <v>460</v>
      </c>
      <c r="H261" s="8" t="n">
        <v>368</v>
      </c>
    </row>
    <row r="262" customFormat="false" ht="14.25" hidden="false" customHeight="false" outlineLevel="0" collapsed="false">
      <c r="A262" s="64"/>
      <c r="B262" s="45" t="n">
        <v>5</v>
      </c>
      <c r="C262" s="12" t="s">
        <v>263</v>
      </c>
      <c r="D262" s="8" t="n">
        <v>100</v>
      </c>
      <c r="E262" s="8" t="s">
        <v>260</v>
      </c>
      <c r="F262" s="8" t="s">
        <v>260</v>
      </c>
      <c r="G262" s="8" t="n">
        <v>360</v>
      </c>
      <c r="H262" s="8" t="n">
        <v>288</v>
      </c>
    </row>
    <row r="263" customFormat="false" ht="14.25" hidden="false" customHeight="false" outlineLevel="0" collapsed="false">
      <c r="A263" s="64"/>
      <c r="B263" s="45" t="n">
        <v>6</v>
      </c>
      <c r="C263" s="12" t="s">
        <v>264</v>
      </c>
      <c r="D263" s="8" t="n">
        <v>100</v>
      </c>
      <c r="E263" s="8" t="s">
        <v>260</v>
      </c>
      <c r="F263" s="8" t="s">
        <v>260</v>
      </c>
      <c r="G263" s="8" t="n">
        <v>360</v>
      </c>
      <c r="H263" s="8" t="n">
        <v>288</v>
      </c>
    </row>
  </sheetData>
  <mergeCells count="13">
    <mergeCell ref="A2:A71"/>
    <mergeCell ref="A73:A108"/>
    <mergeCell ref="A111:A140"/>
    <mergeCell ref="A143:A172"/>
    <mergeCell ref="A175:A198"/>
    <mergeCell ref="A201:A204"/>
    <mergeCell ref="A206:A210"/>
    <mergeCell ref="A212:A221"/>
    <mergeCell ref="A223:A224"/>
    <mergeCell ref="A228:A237"/>
    <mergeCell ref="A242:A251"/>
    <mergeCell ref="A253:A256"/>
    <mergeCell ref="A258:A2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2025-09-30T12:21:37Z</dcterms:created>
  <dc:creator>GANESH</dc:creator>
  <dc:description/>
  <dc:language>en-US</dc:language>
  <cp:lastModifiedBy/>
  <cp:lastPrinted>2026-06-10T04:21:00Z</cp:lastPrinted>
  <dcterms:modified xsi:type="dcterms:W3CDTF">2026-07-01T10:02:11Z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